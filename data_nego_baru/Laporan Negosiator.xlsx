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ita Baru" sheetId="1" r:id="rId5"/>
    <sheet state="visible" name="Mirza Baru" sheetId="2" r:id="rId6"/>
    <sheet state="visible" name="Boni Pp" sheetId="3" r:id="rId7"/>
    <sheet state="visible" name="Mirza Pp" sheetId="4" r:id="rId8"/>
  </sheets>
  <definedNames>
    <definedName hidden="1" localSheetId="0" name="_xlnm._FilterDatabase">'Bonita Baru'!$A$1:$J$387</definedName>
    <definedName hidden="1" localSheetId="1" name="_xlnm._FilterDatabase">'Mirza Baru'!$A$1:$J$318</definedName>
    <definedName hidden="1" localSheetId="2" name="_xlnm._FilterDatabase">'Boni Pp'!$A$1:$K$938</definedName>
    <definedName hidden="1" localSheetId="3" name="_xlnm._FilterDatabase">'Mirza Pp'!$A$1:$K$1000</definedName>
  </definedNames>
  <calcPr/>
</workbook>
</file>

<file path=xl/sharedStrings.xml><?xml version="1.0" encoding="utf-8"?>
<sst xmlns="http://schemas.openxmlformats.org/spreadsheetml/2006/main" count="3526" uniqueCount="1355">
  <si>
    <t>ID Ruko</t>
  </si>
  <si>
    <t>Column 1</t>
  </si>
  <si>
    <t>Tanggal Penerimaan UPC</t>
  </si>
  <si>
    <t>Harga Awal</t>
  </si>
  <si>
    <t>Harga Nego</t>
  </si>
  <si>
    <t>Harga Deal</t>
  </si>
  <si>
    <t>Efisiensi</t>
  </si>
  <si>
    <t>Keterangan</t>
  </si>
  <si>
    <t>Negosiator</t>
  </si>
  <si>
    <t>Persentase Efisiensi</t>
  </si>
  <si>
    <t>Keterangan 2</t>
  </si>
  <si>
    <t>R11555</t>
  </si>
  <si>
    <t>R11236</t>
  </si>
  <si>
    <t>Tanggal ACC</t>
  </si>
  <si>
    <t>Harga awal Sewa</t>
  </si>
  <si>
    <t>ACC</t>
  </si>
  <si>
    <t>Mirza</t>
  </si>
  <si>
    <t>Harga Naik pemilik</t>
  </si>
  <si>
    <t>Harga Awal Sewa</t>
  </si>
  <si>
    <t>Bonita</t>
  </si>
  <si>
    <t>Harga Naik Pemilik</t>
  </si>
  <si>
    <t>Total Harga Naik</t>
  </si>
  <si>
    <t>R11557</t>
  </si>
  <si>
    <t>Persentase Naik</t>
  </si>
  <si>
    <t>CANCEL</t>
  </si>
  <si>
    <t>R11588</t>
  </si>
  <si>
    <t>R11606</t>
  </si>
  <si>
    <t>CBI024</t>
  </si>
  <si>
    <t>CBI014</t>
  </si>
  <si>
    <t>R11605</t>
  </si>
  <si>
    <t>R11654</t>
  </si>
  <si>
    <t>12 Juni 2026</t>
  </si>
  <si>
    <t>R11611</t>
  </si>
  <si>
    <t>R11608</t>
  </si>
  <si>
    <t>R11583</t>
  </si>
  <si>
    <t>R11695</t>
  </si>
  <si>
    <t>15/01/26</t>
  </si>
  <si>
    <t>R11604</t>
  </si>
  <si>
    <t>PENDING</t>
  </si>
  <si>
    <t>R11708</t>
  </si>
  <si>
    <t>R11612</t>
  </si>
  <si>
    <t>R11718</t>
  </si>
  <si>
    <t>Minta naik ke 50jt</t>
  </si>
  <si>
    <t>R11587</t>
  </si>
  <si>
    <t>R11681</t>
  </si>
  <si>
    <t>Deal</t>
  </si>
  <si>
    <t>KYB005</t>
  </si>
  <si>
    <t>R11661</t>
  </si>
  <si>
    <t>R11614</t>
  </si>
  <si>
    <t>06 Januari 2026</t>
  </si>
  <si>
    <t>CMS001</t>
  </si>
  <si>
    <t>R11573</t>
  </si>
  <si>
    <t>R11615</t>
  </si>
  <si>
    <t>13 Februari 2026</t>
  </si>
  <si>
    <t>R11645</t>
  </si>
  <si>
    <t>Sudah menghubungi pak Felix</t>
  </si>
  <si>
    <t>R11607</t>
  </si>
  <si>
    <t>R11796</t>
  </si>
  <si>
    <t>26/01/26</t>
  </si>
  <si>
    <t>BKS032</t>
  </si>
  <si>
    <t>Cancel/ruko sudah tersewa</t>
  </si>
  <si>
    <t>15 Mei 2026</t>
  </si>
  <si>
    <t>R11756</t>
  </si>
  <si>
    <t>R11689</t>
  </si>
  <si>
    <t>15/01/2026</t>
  </si>
  <si>
    <t>R11776</t>
  </si>
  <si>
    <t>MJL001</t>
  </si>
  <si>
    <t>R11715</t>
  </si>
  <si>
    <t>R11725</t>
  </si>
  <si>
    <t>Minta naik ke 62jt</t>
  </si>
  <si>
    <t>R11719</t>
  </si>
  <si>
    <t>R11750</t>
  </si>
  <si>
    <t>CBI011</t>
  </si>
  <si>
    <t>31 Juli 2026</t>
  </si>
  <si>
    <t>R11666</t>
  </si>
  <si>
    <t>R11798</t>
  </si>
  <si>
    <t>TSM001</t>
  </si>
  <si>
    <t>R11676</t>
  </si>
  <si>
    <t>27 Juni 2026</t>
  </si>
  <si>
    <t>Minta naik ke 33jt</t>
  </si>
  <si>
    <t>R11779</t>
  </si>
  <si>
    <t>R11655</t>
  </si>
  <si>
    <t>SOR008</t>
  </si>
  <si>
    <t>KYB021</t>
  </si>
  <si>
    <t>R11785</t>
  </si>
  <si>
    <t>R11807</t>
  </si>
  <si>
    <t>26/01/2026</t>
  </si>
  <si>
    <t>Minta naik ke 65jt</t>
  </si>
  <si>
    <t>TGR003</t>
  </si>
  <si>
    <t>R10884</t>
  </si>
  <si>
    <t>Proses</t>
  </si>
  <si>
    <t>R11801</t>
  </si>
  <si>
    <t>12 Mei 2026</t>
  </si>
  <si>
    <t>CBI013</t>
  </si>
  <si>
    <t>23 Februari 2026</t>
  </si>
  <si>
    <t>R11806</t>
  </si>
  <si>
    <t>27/01/26</t>
  </si>
  <si>
    <t>R11747</t>
  </si>
  <si>
    <t>Minta naik ke 49jt</t>
  </si>
  <si>
    <t>SNG006</t>
  </si>
  <si>
    <t>R11418</t>
  </si>
  <si>
    <t>31/01/26</t>
  </si>
  <si>
    <t>18 Mei 2026</t>
  </si>
  <si>
    <t>SPA003</t>
  </si>
  <si>
    <t>R11757</t>
  </si>
  <si>
    <t>12 Agustus 2026</t>
  </si>
  <si>
    <t>R11821</t>
  </si>
  <si>
    <t>Minta naik ke 45jt</t>
  </si>
  <si>
    <t>R11817</t>
  </si>
  <si>
    <t>RKB001</t>
  </si>
  <si>
    <t>R11728</t>
  </si>
  <si>
    <t>22 Juli 2026</t>
  </si>
  <si>
    <t>R11833</t>
  </si>
  <si>
    <t>CBI015</t>
  </si>
  <si>
    <t>R11782</t>
  </si>
  <si>
    <t>Minta naik ke 80jt, Turun ke 70jt</t>
  </si>
  <si>
    <t>R11811</t>
  </si>
  <si>
    <t>KWG019</t>
  </si>
  <si>
    <t>27 Agustus 2026</t>
  </si>
  <si>
    <t>R11840</t>
  </si>
  <si>
    <t>R11208</t>
  </si>
  <si>
    <t>Minta naik ke 40jt</t>
  </si>
  <si>
    <t>R11862</t>
  </si>
  <si>
    <t>R10883</t>
  </si>
  <si>
    <t>SNG003</t>
  </si>
  <si>
    <t>SMD001</t>
  </si>
  <si>
    <t>18 Agustus 2026</t>
  </si>
  <si>
    <t>R11849</t>
  </si>
  <si>
    <t>R11804</t>
  </si>
  <si>
    <t>R11911</t>
  </si>
  <si>
    <t>R11596</t>
  </si>
  <si>
    <t>31/01/2026</t>
  </si>
  <si>
    <t>R11881</t>
  </si>
  <si>
    <t>MJL003</t>
  </si>
  <si>
    <t>CKG011</t>
  </si>
  <si>
    <t>R11814</t>
  </si>
  <si>
    <t>Minta naik ke 60jt</t>
  </si>
  <si>
    <t>R11891</t>
  </si>
  <si>
    <t>SNG004</t>
  </si>
  <si>
    <t>R11859</t>
  </si>
  <si>
    <t>15 Januari 2026</t>
  </si>
  <si>
    <t>Minta naik ke 85jt tapi kalau 5 tahun 80jt, Turun ke 83jt</t>
  </si>
  <si>
    <t>R11838</t>
  </si>
  <si>
    <t>R11893</t>
  </si>
  <si>
    <t>KWG031</t>
  </si>
  <si>
    <t>KWG020</t>
  </si>
  <si>
    <t>23/02/2026</t>
  </si>
  <si>
    <t>27 Juli 2026</t>
  </si>
  <si>
    <t>25 Februari 2026</t>
  </si>
  <si>
    <t>Minta  naik ke 45jt</t>
  </si>
  <si>
    <t>R11884</t>
  </si>
  <si>
    <t>R11638</t>
  </si>
  <si>
    <t>CPT016</t>
  </si>
  <si>
    <t>26 Mei 2026</t>
  </si>
  <si>
    <t>R11912</t>
  </si>
  <si>
    <t>R11809</t>
  </si>
  <si>
    <t>SRG014</t>
  </si>
  <si>
    <t>GRT003</t>
  </si>
  <si>
    <t>27/02/2026</t>
  </si>
  <si>
    <t>04 Maret 2026</t>
  </si>
  <si>
    <t>R11877</t>
  </si>
  <si>
    <t>R11812</t>
  </si>
  <si>
    <t>Minta naik ke 55jt</t>
  </si>
  <si>
    <t>Cancel/surat2 kepemilikan tidak lengkap</t>
  </si>
  <si>
    <t>Deal/Kontrak minta 3 tahun</t>
  </si>
  <si>
    <t>R11867</t>
  </si>
  <si>
    <t>R11815</t>
  </si>
  <si>
    <t>CBI005</t>
  </si>
  <si>
    <t>17 Maret 2026</t>
  </si>
  <si>
    <t>RKB006</t>
  </si>
  <si>
    <t>R11866</t>
  </si>
  <si>
    <t>R11832</t>
  </si>
  <si>
    <t>R11865</t>
  </si>
  <si>
    <t>SMD004</t>
  </si>
  <si>
    <t>16/02/26</t>
  </si>
  <si>
    <t>R11903</t>
  </si>
  <si>
    <t>RKB007</t>
  </si>
  <si>
    <t>R12032</t>
  </si>
  <si>
    <t>23/02/26</t>
  </si>
  <si>
    <t>R11896</t>
  </si>
  <si>
    <t>PP harga sama</t>
  </si>
  <si>
    <t>R11963</t>
  </si>
  <si>
    <t>SOR015</t>
  </si>
  <si>
    <t>R11894</t>
  </si>
  <si>
    <t>CJR002</t>
  </si>
  <si>
    <t>Cancel/ruko sudah terisi pertanggal 15/02/2026 oleh central ban</t>
  </si>
  <si>
    <t>R11901</t>
  </si>
  <si>
    <t>R11916</t>
  </si>
  <si>
    <t>CBI043</t>
  </si>
  <si>
    <t>R11825</t>
  </si>
  <si>
    <t>BGR013</t>
  </si>
  <si>
    <t>R11917</t>
  </si>
  <si>
    <t>29 Juli 2026</t>
  </si>
  <si>
    <t>R11861</t>
  </si>
  <si>
    <t>R12081</t>
  </si>
  <si>
    <t>Minta naik 10%</t>
  </si>
  <si>
    <t>R11855</t>
  </si>
  <si>
    <t>SOR010</t>
  </si>
  <si>
    <t>KYB022</t>
  </si>
  <si>
    <t>R12016</t>
  </si>
  <si>
    <t>20 Juli 2026</t>
  </si>
  <si>
    <t>11 Juni 2026</t>
  </si>
  <si>
    <t>Masih di pending Pak Samudra</t>
  </si>
  <si>
    <t>R11905</t>
  </si>
  <si>
    <t>R11890</t>
  </si>
  <si>
    <t>Minta naik ke 35jt</t>
  </si>
  <si>
    <t>GGP002</t>
  </si>
  <si>
    <t>R11906</t>
  </si>
  <si>
    <t>SOR009</t>
  </si>
  <si>
    <t>Sudah tersewa 1 bulan yang lalu</t>
  </si>
  <si>
    <t>21 Juli 2026</t>
  </si>
  <si>
    <t>Proses/mau di 80jt tapi di 3 tahun sewa</t>
  </si>
  <si>
    <t>R11899</t>
  </si>
  <si>
    <t>R11863</t>
  </si>
  <si>
    <t>SLW007</t>
  </si>
  <si>
    <t>R11935</t>
  </si>
  <si>
    <t>Minta naik ke 30jt</t>
  </si>
  <si>
    <t>R12048</t>
  </si>
  <si>
    <t>16/02/2026</t>
  </si>
  <si>
    <t>TSM002</t>
  </si>
  <si>
    <t>CJR003</t>
  </si>
  <si>
    <t>R12089</t>
  </si>
  <si>
    <t>R11966</t>
  </si>
  <si>
    <t>PP 2 tahun 57,5jt PP 3 tahun 55jt</t>
  </si>
  <si>
    <t>R11985</t>
  </si>
  <si>
    <t>RKB002</t>
  </si>
  <si>
    <t>R12104</t>
  </si>
  <si>
    <t>CKR026</t>
  </si>
  <si>
    <t>Cancel/ruko sudah tersewa 21/02/2026</t>
  </si>
  <si>
    <t>R12026</t>
  </si>
  <si>
    <t>R12044</t>
  </si>
  <si>
    <t>Minta naik ke 25jt</t>
  </si>
  <si>
    <t>KNG001</t>
  </si>
  <si>
    <t>30 Juli 2026</t>
  </si>
  <si>
    <t>PWK006</t>
  </si>
  <si>
    <t>23 Juli 2026</t>
  </si>
  <si>
    <t>R12043</t>
  </si>
  <si>
    <t>Minta naik ke 38jt, Turun ke 37jt</t>
  </si>
  <si>
    <t>R12034</t>
  </si>
  <si>
    <t>SBR004</t>
  </si>
  <si>
    <t>30 Juli2026</t>
  </si>
  <si>
    <t>R12052</t>
  </si>
  <si>
    <t>CJR004</t>
  </si>
  <si>
    <t>Minta naik ke 30jt, Turun ke 29jt</t>
  </si>
  <si>
    <t>R12008</t>
  </si>
  <si>
    <t>GRT001</t>
  </si>
  <si>
    <t>23 Januari 2026</t>
  </si>
  <si>
    <t>R12079</t>
  </si>
  <si>
    <t>R12050</t>
  </si>
  <si>
    <t>SMD010</t>
  </si>
  <si>
    <t>22 Januari 2026</t>
  </si>
  <si>
    <t>Deal/Sewa 3 tahun</t>
  </si>
  <si>
    <t>R12073</t>
  </si>
  <si>
    <t>SBR009</t>
  </si>
  <si>
    <t>R11994</t>
  </si>
  <si>
    <t>BKS011</t>
  </si>
  <si>
    <t>R12018</t>
  </si>
  <si>
    <t>R11981</t>
  </si>
  <si>
    <t>Mau dipakai sendiri</t>
  </si>
  <si>
    <t>SBR008</t>
  </si>
  <si>
    <t>CKG010</t>
  </si>
  <si>
    <t>R12067</t>
  </si>
  <si>
    <t>09 Juni 2026</t>
  </si>
  <si>
    <t>Deal/namun bangunan tidak layak untuk di sewa</t>
  </si>
  <si>
    <t>R12029</t>
  </si>
  <si>
    <t>R12088</t>
  </si>
  <si>
    <t>Pending Team PP</t>
  </si>
  <si>
    <t>Minta  naik ke 70jt, Turun ke 68.333.333/205jt 3 thn</t>
  </si>
  <si>
    <t>KWG021</t>
  </si>
  <si>
    <t>Deal/namun pemilik tidak mau menunjukan surat2</t>
  </si>
  <si>
    <t>BKS037</t>
  </si>
  <si>
    <t>R12091</t>
  </si>
  <si>
    <t>R12036</t>
  </si>
  <si>
    <t>27/02/26</t>
  </si>
  <si>
    <t>R12021</t>
  </si>
  <si>
    <t>R12083</t>
  </si>
  <si>
    <t>Minta naik ke 50jt, Turun ke 47,5jt</t>
  </si>
  <si>
    <t>Proses/Pemilik minta sewa 3 tahun</t>
  </si>
  <si>
    <t>DPK031</t>
  </si>
  <si>
    <t>Baru merespon lagi dan sudah tersewa</t>
  </si>
  <si>
    <t>R11978</t>
  </si>
  <si>
    <t>CKR024</t>
  </si>
  <si>
    <t>R12068</t>
  </si>
  <si>
    <t>PDG001</t>
  </si>
  <si>
    <t>R12065</t>
  </si>
  <si>
    <t>R12051</t>
  </si>
  <si>
    <t>TGR031</t>
  </si>
  <si>
    <t>28 Juli 2026</t>
  </si>
  <si>
    <t>R12037</t>
  </si>
  <si>
    <t>R12128</t>
  </si>
  <si>
    <t>Minta naik ke 24jt, Turun ke PP harga sama</t>
  </si>
  <si>
    <t>Namun minta sewa pp 4 tahun</t>
  </si>
  <si>
    <t>Cancel/ruko sudah tersewa 25/02/2026 soto betawi</t>
  </si>
  <si>
    <t>BDG006</t>
  </si>
  <si>
    <t>29 Mei 2026</t>
  </si>
  <si>
    <t>R12049</t>
  </si>
  <si>
    <t>R12132</t>
  </si>
  <si>
    <t>BKS035</t>
  </si>
  <si>
    <t>R12124</t>
  </si>
  <si>
    <t>Minta naik ke 42jt, Turun ke 41jt</t>
  </si>
  <si>
    <t>R11972</t>
  </si>
  <si>
    <t>SRG007</t>
  </si>
  <si>
    <t>R12056</t>
  </si>
  <si>
    <t>R12111</t>
  </si>
  <si>
    <t>PDG002</t>
  </si>
  <si>
    <t>R12054</t>
  </si>
  <si>
    <t>SOR014</t>
  </si>
  <si>
    <t>R12125</t>
  </si>
  <si>
    <t>06 Juli 2026</t>
  </si>
  <si>
    <t>R12116</t>
  </si>
  <si>
    <t>R11973</t>
  </si>
  <si>
    <t>CJR005</t>
  </si>
  <si>
    <t>R12123</t>
  </si>
  <si>
    <t>SMD002</t>
  </si>
  <si>
    <t>26 Februari 2026</t>
  </si>
  <si>
    <t>R12086</t>
  </si>
  <si>
    <t>R12121</t>
  </si>
  <si>
    <t>Deal/Namun minta sewa 4 tahun</t>
  </si>
  <si>
    <t>Minta naik ke 28jt, Turun ke pp harga sama</t>
  </si>
  <si>
    <t>Deal/Sewa 3 tahun dulu</t>
  </si>
  <si>
    <t>R12084</t>
  </si>
  <si>
    <t>GRT004</t>
  </si>
  <si>
    <t>R12117</t>
  </si>
  <si>
    <t>19 Februari 2026</t>
  </si>
  <si>
    <t>MJL005</t>
  </si>
  <si>
    <t>R12063</t>
  </si>
  <si>
    <t>R12115</t>
  </si>
  <si>
    <t>GRT016</t>
  </si>
  <si>
    <t>18 Februari 2026</t>
  </si>
  <si>
    <t>Hanya bisa sewa 1 tahun saja, pemilik lepas jual 2,2 m</t>
  </si>
  <si>
    <t>R12098</t>
  </si>
  <si>
    <t>R12096</t>
  </si>
  <si>
    <t>KWG015</t>
  </si>
  <si>
    <t>29/04/2026</t>
  </si>
  <si>
    <t>Cancel/hasil survey bangunan tidak layak</t>
  </si>
  <si>
    <t>16 Mei 2026</t>
  </si>
  <si>
    <t>R12179</t>
  </si>
  <si>
    <t>R12253</t>
  </si>
  <si>
    <t>R12095</t>
  </si>
  <si>
    <t>IDM007</t>
  </si>
  <si>
    <t>KWG025</t>
  </si>
  <si>
    <t>R11455</t>
  </si>
  <si>
    <t>28 Februari 2026</t>
  </si>
  <si>
    <t>R12172</t>
  </si>
  <si>
    <t>R12165</t>
  </si>
  <si>
    <t>R12108</t>
  </si>
  <si>
    <t>R12196</t>
  </si>
  <si>
    <t>CKG018</t>
  </si>
  <si>
    <t>SLW005</t>
  </si>
  <si>
    <t>R12302</t>
  </si>
  <si>
    <t>R12127</t>
  </si>
  <si>
    <t>02 Maret 2026</t>
  </si>
  <si>
    <t>13/03/26</t>
  </si>
  <si>
    <t>R12093</t>
  </si>
  <si>
    <t>R12170</t>
  </si>
  <si>
    <t>TGR014</t>
  </si>
  <si>
    <t>19 Mei 2026</t>
  </si>
  <si>
    <t>SBM005</t>
  </si>
  <si>
    <t>Sempat terpending/Sewa langsung 5 tahun untuk 2 ruko</t>
  </si>
  <si>
    <t>R12205</t>
  </si>
  <si>
    <t>26 Juni 2026</t>
  </si>
  <si>
    <t>R12105</t>
  </si>
  <si>
    <t>TGR013</t>
  </si>
  <si>
    <t>R12216</t>
  </si>
  <si>
    <t>08 Mei 2026</t>
  </si>
  <si>
    <t>Cancel/pemilik di hubungi dari tanggal 03/03/2026 sama sekali tidak merespon, respon tanggal 06/03/2026 dan sudah terisi</t>
  </si>
  <si>
    <t>Keluarga pemilik mengcancel</t>
  </si>
  <si>
    <t>R12156</t>
  </si>
  <si>
    <t>R12269</t>
  </si>
  <si>
    <t>IDM005</t>
  </si>
  <si>
    <t>22 Mei 2026</t>
  </si>
  <si>
    <t>R12284</t>
  </si>
  <si>
    <t>Cancel/Ruko sudah terisi</t>
  </si>
  <si>
    <t>CBI004</t>
  </si>
  <si>
    <t>R12157</t>
  </si>
  <si>
    <t>R12299</t>
  </si>
  <si>
    <t>CBI045</t>
  </si>
  <si>
    <t>Cancel/Ruko sudah terisi ruko 1 salon, ruko 2 expedisi</t>
  </si>
  <si>
    <t>R12300</t>
  </si>
  <si>
    <t>R12085</t>
  </si>
  <si>
    <t>Minta naik ke 36jt, Turun ke PP harga sama</t>
  </si>
  <si>
    <t>CPT017</t>
  </si>
  <si>
    <t>R12282</t>
  </si>
  <si>
    <t>R12133</t>
  </si>
  <si>
    <t>16 Maret 2026</t>
  </si>
  <si>
    <t>SBR010</t>
  </si>
  <si>
    <t>Cancel/pemili tidak mau di sewa oleh PGI riba</t>
  </si>
  <si>
    <t>R12182</t>
  </si>
  <si>
    <t>R12197</t>
  </si>
  <si>
    <t>R12217</t>
  </si>
  <si>
    <t>GRT005</t>
  </si>
  <si>
    <t>24 Juli 2026</t>
  </si>
  <si>
    <t>R12335</t>
  </si>
  <si>
    <t>CBN004</t>
  </si>
  <si>
    <t>Cancel/karna salah satu alih waris tidak setuju untuk di sewa dan ingin di gunakan sendiri</t>
  </si>
  <si>
    <t>R12221</t>
  </si>
  <si>
    <t>R12311</t>
  </si>
  <si>
    <t>Minta naik ke 40jt, Turun ke 38jt</t>
  </si>
  <si>
    <t>R12193</t>
  </si>
  <si>
    <t>PWK004</t>
  </si>
  <si>
    <t>DPK007</t>
  </si>
  <si>
    <t>Hanya mau disewa pertahun</t>
  </si>
  <si>
    <t>R12477</t>
  </si>
  <si>
    <t>R12191</t>
  </si>
  <si>
    <t>SMD006</t>
  </si>
  <si>
    <t>14 Juli 2026</t>
  </si>
  <si>
    <t>R12381</t>
  </si>
  <si>
    <t>R12153</t>
  </si>
  <si>
    <t>CKR027</t>
  </si>
  <si>
    <t>R11565</t>
  </si>
  <si>
    <t>SOR016</t>
  </si>
  <si>
    <t>R12150</t>
  </si>
  <si>
    <t>Minta naik ke 15jt</t>
  </si>
  <si>
    <t>BGR014</t>
  </si>
  <si>
    <t>R12348</t>
  </si>
  <si>
    <t>R12252</t>
  </si>
  <si>
    <t>Pemilik berencana tidak mau di perpanjang oleh PGI</t>
  </si>
  <si>
    <t>TGR030</t>
  </si>
  <si>
    <t>R12367</t>
  </si>
  <si>
    <t>R12258</t>
  </si>
  <si>
    <t>Minta naik ke 50jt, Turun ke 48jt</t>
  </si>
  <si>
    <t>SLW006</t>
  </si>
  <si>
    <t>Sewa 4 tahun</t>
  </si>
  <si>
    <t>SKB001</t>
  </si>
  <si>
    <t>R12261</t>
  </si>
  <si>
    <t>R12353</t>
  </si>
  <si>
    <t>Minta naik ke 25jt dinego turun ke 18jt</t>
  </si>
  <si>
    <t>CPT007</t>
  </si>
  <si>
    <t>R12256</t>
  </si>
  <si>
    <t>R12366</t>
  </si>
  <si>
    <t>R12198</t>
  </si>
  <si>
    <t>SRG010</t>
  </si>
  <si>
    <t>Minta naik ke 60jt turun ke 55jt</t>
  </si>
  <si>
    <t>13/03/2026</t>
  </si>
  <si>
    <t>R12369</t>
  </si>
  <si>
    <t>KNG002</t>
  </si>
  <si>
    <t>R12280</t>
  </si>
  <si>
    <t>R12408</t>
  </si>
  <si>
    <t>Minta naik ke 50jt turun ke 48jt</t>
  </si>
  <si>
    <t>Deal/Pemilik sudah mau harga sama, namun ruko masih dalam rundingan management di ruangan Pak Claher</t>
  </si>
  <si>
    <t>R12289</t>
  </si>
  <si>
    <t>SBR007</t>
  </si>
  <si>
    <t>TGR037</t>
  </si>
  <si>
    <t>R12389</t>
  </si>
  <si>
    <t>Cancel/Ruko sudah terisi jauh sebelum di lakukan negosiasi</t>
  </si>
  <si>
    <t>R12241</t>
  </si>
  <si>
    <t>R12517</t>
  </si>
  <si>
    <t>Minta naik ke 40jt turun ke 36jt</t>
  </si>
  <si>
    <t>GRT009(plbrn)</t>
  </si>
  <si>
    <t>Sudah sewa opsi</t>
  </si>
  <si>
    <t>R12520</t>
  </si>
  <si>
    <t>R12180</t>
  </si>
  <si>
    <t>CPT025</t>
  </si>
  <si>
    <t>R12460</t>
  </si>
  <si>
    <t>R12345</t>
  </si>
  <si>
    <t>Kontrak langsung 3 tahun</t>
  </si>
  <si>
    <t>R12519</t>
  </si>
  <si>
    <t>R12275</t>
  </si>
  <si>
    <t>BKS024</t>
  </si>
  <si>
    <t>GRT009</t>
  </si>
  <si>
    <t>R11702</t>
  </si>
  <si>
    <t>R12294</t>
  </si>
  <si>
    <t>CPT023</t>
  </si>
  <si>
    <t>R11907</t>
  </si>
  <si>
    <t>R12208</t>
  </si>
  <si>
    <t>10 Agustus 2026</t>
  </si>
  <si>
    <t>Penyewa lama melanjutkan sewa</t>
  </si>
  <si>
    <t>CKR023</t>
  </si>
  <si>
    <t>R12467</t>
  </si>
  <si>
    <t>R12307</t>
  </si>
  <si>
    <t>16/03/2026</t>
  </si>
  <si>
    <t>TGR036</t>
  </si>
  <si>
    <t>R12572</t>
  </si>
  <si>
    <t>R12194</t>
  </si>
  <si>
    <t>31/03/2026</t>
  </si>
  <si>
    <t>Tidak bisa langsung di proses/cari ruko opsi</t>
  </si>
  <si>
    <t>CKR004</t>
  </si>
  <si>
    <t>Cancel/Pemilik ruko sama sekali tidak bisa di hubungi</t>
  </si>
  <si>
    <t>R12618</t>
  </si>
  <si>
    <t>R12470</t>
  </si>
  <si>
    <t>DPK043</t>
  </si>
  <si>
    <t>R12577</t>
  </si>
  <si>
    <t>25 Juni 2026</t>
  </si>
  <si>
    <t>R12373</t>
  </si>
  <si>
    <t>Harga sama pp 2-3 tahun</t>
  </si>
  <si>
    <t>CBI006</t>
  </si>
  <si>
    <t>R12538</t>
  </si>
  <si>
    <t>R12327</t>
  </si>
  <si>
    <t>BKS027</t>
  </si>
  <si>
    <t>R12663</t>
  </si>
  <si>
    <t>Deal/Sewa 3+2</t>
  </si>
  <si>
    <t>Cancel/tidak di pp karna ruko ingin di gunakan pemilik</t>
  </si>
  <si>
    <t>R12293</t>
  </si>
  <si>
    <t>IDM011</t>
  </si>
  <si>
    <t>29 Juni 2026</t>
  </si>
  <si>
    <t>R12492</t>
  </si>
  <si>
    <t>Deal/Sewa langsung 5 tahun</t>
  </si>
  <si>
    <t>CLG004</t>
  </si>
  <si>
    <t>Deal/Pemilik minta di proses cepat</t>
  </si>
  <si>
    <t>R12325</t>
  </si>
  <si>
    <t>07 Mei 2026</t>
  </si>
  <si>
    <t>TNG025</t>
  </si>
  <si>
    <t>R12562</t>
  </si>
  <si>
    <t>R12378</t>
  </si>
  <si>
    <t>Minta naik ke 40jt, Turun ke PP harga sama</t>
  </si>
  <si>
    <t>SBR013</t>
  </si>
  <si>
    <t>15/06/2026</t>
  </si>
  <si>
    <t>Cancel/Managament membatalkan sewa</t>
  </si>
  <si>
    <t>R12521</t>
  </si>
  <si>
    <t>GGP012</t>
  </si>
  <si>
    <t>R12445</t>
  </si>
  <si>
    <t>03 Agustus 2026</t>
  </si>
  <si>
    <t>pp 2-3 tahun</t>
  </si>
  <si>
    <t>GRT013</t>
  </si>
  <si>
    <t>R12543</t>
  </si>
  <si>
    <t>R12340</t>
  </si>
  <si>
    <t>100jt 3 tahun</t>
  </si>
  <si>
    <t>IDM010</t>
  </si>
  <si>
    <t>R12570</t>
  </si>
  <si>
    <t>Cancel/Pemilik tidak mau turun harga dan diberikan ke penyewa lainnya</t>
  </si>
  <si>
    <t>R12407</t>
  </si>
  <si>
    <t>R12530</t>
  </si>
  <si>
    <t>Deal/Sewa 2 ruko</t>
  </si>
  <si>
    <t>GRT012</t>
  </si>
  <si>
    <t>TGR032</t>
  </si>
  <si>
    <t>R12465</t>
  </si>
  <si>
    <t>Tersewa saat sedang dinego</t>
  </si>
  <si>
    <t>R12654</t>
  </si>
  <si>
    <t>Cancel/Pemilik tidak mau di sewa PGI karna riba</t>
  </si>
  <si>
    <t>Tidak bisa langsung proses</t>
  </si>
  <si>
    <t>R12350</t>
  </si>
  <si>
    <t>Hanya mau dijual</t>
  </si>
  <si>
    <t>PDG008</t>
  </si>
  <si>
    <t>R12635</t>
  </si>
  <si>
    <t>18/06/2026</t>
  </si>
  <si>
    <t>01 Juli 2026</t>
  </si>
  <si>
    <t>GRT006</t>
  </si>
  <si>
    <t>R12430</t>
  </si>
  <si>
    <t>R12639</t>
  </si>
  <si>
    <t>Cancel/management membatakan sewa</t>
  </si>
  <si>
    <t>TGR028</t>
  </si>
  <si>
    <t>R12414</t>
  </si>
  <si>
    <t>R12653</t>
  </si>
  <si>
    <t>R12382</t>
  </si>
  <si>
    <t>PDG007</t>
  </si>
  <si>
    <t>R12574</t>
  </si>
  <si>
    <t>MJL004</t>
  </si>
  <si>
    <t>R12380</t>
  </si>
  <si>
    <t>Hanya ambil 1 ruko, sewa 2 tahun 25jt/NET</t>
  </si>
  <si>
    <t>R12743</t>
  </si>
  <si>
    <t>SNG011</t>
  </si>
  <si>
    <t>R12462</t>
  </si>
  <si>
    <t>PP 2 thn 30jt, 3 thn 25jt, 5 thn 22jt. Turun ke PP harga sama</t>
  </si>
  <si>
    <t>R12756</t>
  </si>
  <si>
    <t>GRT007</t>
  </si>
  <si>
    <t>Cancel/management membatalkan sewa</t>
  </si>
  <si>
    <t>2-3 tahun</t>
  </si>
  <si>
    <t>R12463</t>
  </si>
  <si>
    <t>BKS028</t>
  </si>
  <si>
    <t>Pak Andrew tidak mau karena kecil</t>
  </si>
  <si>
    <t>R12687</t>
  </si>
  <si>
    <t>Deal/Minta ambil 2 ruko, pemilik buka harga di 70jt/thn</t>
  </si>
  <si>
    <t>R12468</t>
  </si>
  <si>
    <t>IDM009</t>
  </si>
  <si>
    <t>GRT008</t>
  </si>
  <si>
    <t>R12679</t>
  </si>
  <si>
    <t>3 Tahun/NET</t>
  </si>
  <si>
    <t>R12422</t>
  </si>
  <si>
    <t>CKR001</t>
  </si>
  <si>
    <t>Kalau 1 ruko 26jt</t>
  </si>
  <si>
    <t>R12897</t>
  </si>
  <si>
    <t>Deal/Pembayaran 50jt/langsung 5 tahun/3+2 60jt/thn</t>
  </si>
  <si>
    <t>Langsung 5 tahun/NET</t>
  </si>
  <si>
    <t>R12567</t>
  </si>
  <si>
    <t>SBR011</t>
  </si>
  <si>
    <t>22/07/2026</t>
  </si>
  <si>
    <t>31 Agustus 2026</t>
  </si>
  <si>
    <t>R12811</t>
  </si>
  <si>
    <t>R12551</t>
  </si>
  <si>
    <t>R12812</t>
  </si>
  <si>
    <t>Harga sewa 38,5jt/thn, harga percepat 35jt/thn sewa 2 tahun</t>
  </si>
  <si>
    <t>Cancel/Ruko bagian tengah sudah terisi duluan, sebelum penerimaan upc</t>
  </si>
  <si>
    <t>Nomer tidak aktif</t>
  </si>
  <si>
    <t>R12553</t>
  </si>
  <si>
    <t>SPA004</t>
  </si>
  <si>
    <t>IDM004</t>
  </si>
  <si>
    <t>R11436</t>
  </si>
  <si>
    <t>R12505</t>
  </si>
  <si>
    <t>16/04/2026</t>
  </si>
  <si>
    <t>R12703</t>
  </si>
  <si>
    <t>Minta naik ke 35jt turun ke 30jt</t>
  </si>
  <si>
    <t>MJL007</t>
  </si>
  <si>
    <t>R12418</t>
  </si>
  <si>
    <t>PWT006</t>
  </si>
  <si>
    <t>Sudah tersewa sejak awal bulan</t>
  </si>
  <si>
    <t>R12692</t>
  </si>
  <si>
    <t>BKS053</t>
  </si>
  <si>
    <t>R12592</t>
  </si>
  <si>
    <t>22/04/2026</t>
  </si>
  <si>
    <t>Sudah tersewa dan pemilik susah dihubungi</t>
  </si>
  <si>
    <t>2-3 tahun/Net</t>
  </si>
  <si>
    <t>R12913</t>
  </si>
  <si>
    <t>Deal/Harga 2 ruko 110jt/thn/1 ruko 55jt/thn</t>
  </si>
  <si>
    <t>SKB002</t>
  </si>
  <si>
    <t>R12674</t>
  </si>
  <si>
    <t>KBM001</t>
  </si>
  <si>
    <t>R12922</t>
  </si>
  <si>
    <t>SOR018</t>
  </si>
  <si>
    <t>R12612</t>
  </si>
  <si>
    <t>Minta naik ke 21jt</t>
  </si>
  <si>
    <t>Sudah sewa opsi 1</t>
  </si>
  <si>
    <t>Cancel/sudah sewa opsi 1 upc R12611</t>
  </si>
  <si>
    <t>TGR039</t>
  </si>
  <si>
    <t>R12830</t>
  </si>
  <si>
    <t>BGR021</t>
  </si>
  <si>
    <t>14 Agustus 2026</t>
  </si>
  <si>
    <t>R12611</t>
  </si>
  <si>
    <t>Deal/awal deal harga 38jt/thn, namun ada kenaikan di 500rb untuk pembayaran pph, pbb dan notaris</t>
  </si>
  <si>
    <t>CMS003</t>
  </si>
  <si>
    <t>R12873</t>
  </si>
  <si>
    <t>R12672</t>
  </si>
  <si>
    <t>PP 1 thn 20jt/thn, PP 2 thn harga tidak naik</t>
  </si>
  <si>
    <t>Cancel/Ruko sudah terisi pertanggal 01 Mei 2026</t>
  </si>
  <si>
    <t>SBM011</t>
  </si>
  <si>
    <t>Tidak mau disewa gadai konvensional</t>
  </si>
  <si>
    <t>CKR028</t>
  </si>
  <si>
    <t>R12615</t>
  </si>
  <si>
    <t>R12880</t>
  </si>
  <si>
    <t>24 Agustus 2026</t>
  </si>
  <si>
    <t>Cancel/Pemilik tidak merespon chat team sewa selama berhari - hari</t>
  </si>
  <si>
    <t>Deal/Pembayaran langsung 5 tahun</t>
  </si>
  <si>
    <t>R12541</t>
  </si>
  <si>
    <t>KNG004</t>
  </si>
  <si>
    <t>Minta PP 5 tahun 3+2 bisa</t>
  </si>
  <si>
    <t>R12847</t>
  </si>
  <si>
    <t>GGP022</t>
  </si>
  <si>
    <t>3 tahun</t>
  </si>
  <si>
    <t>Dioper ke kak boni</t>
  </si>
  <si>
    <t>R12539</t>
  </si>
  <si>
    <t>TNA012</t>
  </si>
  <si>
    <t>R12864</t>
  </si>
  <si>
    <t>TJP013</t>
  </si>
  <si>
    <t>R12628</t>
  </si>
  <si>
    <t>R12833</t>
  </si>
  <si>
    <t>CMS002</t>
  </si>
  <si>
    <t>R12578</t>
  </si>
  <si>
    <t>R12764</t>
  </si>
  <si>
    <t>Cancel/pemilik sudah tidak mau di sewakan ingin di gunakan pribadi</t>
  </si>
  <si>
    <t>PDG003</t>
  </si>
  <si>
    <t>Cancel/ukuran bangunan tidak sesuai</t>
  </si>
  <si>
    <t>DPK011</t>
  </si>
  <si>
    <t>R12667</t>
  </si>
  <si>
    <t>R11437</t>
  </si>
  <si>
    <t>Minta di PP dengan pelebarannya jadi total harga sewa 60jt/thn</t>
  </si>
  <si>
    <t>Cancel/pemilik sudah tidak mau di sewakan/Ruko mau di jual</t>
  </si>
  <si>
    <t>NPH003</t>
  </si>
  <si>
    <t>BKS029</t>
  </si>
  <si>
    <t>R12739</t>
  </si>
  <si>
    <t>03 Juli 2026</t>
  </si>
  <si>
    <t>24/04/2026</t>
  </si>
  <si>
    <t>20 Agustus 2026</t>
  </si>
  <si>
    <t>Bangunan tidak sesuai</t>
  </si>
  <si>
    <t>R12919</t>
  </si>
  <si>
    <t>Kalau diproses minggu ini 18-23 Mei harga 25jt, PP harga sama</t>
  </si>
  <si>
    <t>CKG024</t>
  </si>
  <si>
    <t>R12606</t>
  </si>
  <si>
    <t>BKS025</t>
  </si>
  <si>
    <t>26/08/2026</t>
  </si>
  <si>
    <t>R12943</t>
  </si>
  <si>
    <t>2 Tahun (Perpanjangan percepat)</t>
  </si>
  <si>
    <t>R12604</t>
  </si>
  <si>
    <t>SBR005</t>
  </si>
  <si>
    <t>KWG047</t>
  </si>
  <si>
    <t>Sudah tersewa</t>
  </si>
  <si>
    <t>31/08/2026</t>
  </si>
  <si>
    <t xml:space="preserve"> </t>
  </si>
  <si>
    <t>R12939</t>
  </si>
  <si>
    <t>Deal/awal mau sewa yang kuning sudah tersewa, jadi sewa yang hijau</t>
  </si>
  <si>
    <t>R12731</t>
  </si>
  <si>
    <t>1 Tahun (Perpanjangan percepat)</t>
  </si>
  <si>
    <t>TJP011</t>
  </si>
  <si>
    <t>CKG004</t>
  </si>
  <si>
    <t>Mau disewakan ke teman</t>
  </si>
  <si>
    <t>R12910</t>
  </si>
  <si>
    <t>Cancel/bangunan sudah laku di sabtu pagi Apotek K24, upc jumat sore</t>
  </si>
  <si>
    <t>15 Juli 2026</t>
  </si>
  <si>
    <t>R12737</t>
  </si>
  <si>
    <t>Sudah tersewa sejak 1 minggu sebelum pengajuan</t>
  </si>
  <si>
    <t>R12924</t>
  </si>
  <si>
    <t>BGR022</t>
  </si>
  <si>
    <t>R12561</t>
  </si>
  <si>
    <t>GRT002</t>
  </si>
  <si>
    <t>Ukuran terlalu kecil</t>
  </si>
  <si>
    <t>16 Juli 2026</t>
  </si>
  <si>
    <t>3 Tahun/Net</t>
  </si>
  <si>
    <t>R13016</t>
  </si>
  <si>
    <t>R12623</t>
  </si>
  <si>
    <t>SOR019</t>
  </si>
  <si>
    <t>R13007</t>
  </si>
  <si>
    <t>DPK033</t>
  </si>
  <si>
    <t>R12594</t>
  </si>
  <si>
    <t>R12976</t>
  </si>
  <si>
    <t>Cancel/management tidak jadi sewa</t>
  </si>
  <si>
    <t>CBI049</t>
  </si>
  <si>
    <t>R12755</t>
  </si>
  <si>
    <t>30/04/2026</t>
  </si>
  <si>
    <t>BGR012</t>
  </si>
  <si>
    <t>R12965</t>
  </si>
  <si>
    <t>R12718</t>
  </si>
  <si>
    <t>R12997</t>
  </si>
  <si>
    <t>GGP009</t>
  </si>
  <si>
    <t>Deal/1-3 tahun 68jt/thn/4-5 70jt/thn</t>
  </si>
  <si>
    <t>R12725</t>
  </si>
  <si>
    <t>R13008</t>
  </si>
  <si>
    <t>Deal/1-3 tahun 100jt/thn/4-5 110jt/thn</t>
  </si>
  <si>
    <t>SRG009</t>
  </si>
  <si>
    <t>SOR020</t>
  </si>
  <si>
    <t>R12659</t>
  </si>
  <si>
    <t>R13040</t>
  </si>
  <si>
    <t>Cancel/Pemilik tidak mau di sewa dikarenakan sudah lebih dahulu di sewa raja gadai</t>
  </si>
  <si>
    <t>R11125</t>
  </si>
  <si>
    <t>R13061</t>
  </si>
  <si>
    <t>CBI046</t>
  </si>
  <si>
    <t>CLP006</t>
  </si>
  <si>
    <t>18/09/2026</t>
  </si>
  <si>
    <t>Deal/Sewa 2 ruko, namun 1 ruko sudah terdp oleh toko mainan/jadinya sewa 1 ruko</t>
  </si>
  <si>
    <t>R12952</t>
  </si>
  <si>
    <t>R12669</t>
  </si>
  <si>
    <t>Minta di PP dengan pelebarannya jadi total harga sewa 55jt/thn</t>
  </si>
  <si>
    <t>R12903</t>
  </si>
  <si>
    <t>R12818</t>
  </si>
  <si>
    <t>R12861</t>
  </si>
  <si>
    <t>Cancel/Ruko sudah tersewa</t>
  </si>
  <si>
    <t>NPH004</t>
  </si>
  <si>
    <t>R11432</t>
  </si>
  <si>
    <t>2 Tahun</t>
  </si>
  <si>
    <t>R12906</t>
  </si>
  <si>
    <t>Cancel/Terima Upc 06/05/2026 namun ruko sudah terisi 2 bulan yang lalu Baby Shop</t>
  </si>
  <si>
    <t>KLN002</t>
  </si>
  <si>
    <t>R12831</t>
  </si>
  <si>
    <t>Cancel by pak Sam</t>
  </si>
  <si>
    <t>1 Tahun</t>
  </si>
  <si>
    <t>R13038</t>
  </si>
  <si>
    <t>DPR013</t>
  </si>
  <si>
    <t>R12840</t>
  </si>
  <si>
    <t>R13070</t>
  </si>
  <si>
    <t>SBM010</t>
  </si>
  <si>
    <t>R12854</t>
  </si>
  <si>
    <t>R12954</t>
  </si>
  <si>
    <t>PWT002</t>
  </si>
  <si>
    <t>R12894</t>
  </si>
  <si>
    <t>R12652</t>
  </si>
  <si>
    <t>23/09/2026</t>
  </si>
  <si>
    <t>R13130</t>
  </si>
  <si>
    <t>R12730</t>
  </si>
  <si>
    <t>CBI044</t>
  </si>
  <si>
    <t>R13119</t>
  </si>
  <si>
    <t>R12727</t>
  </si>
  <si>
    <t>RKB008</t>
  </si>
  <si>
    <t>Deal/Sewa 5 tahun/15jt/thn</t>
  </si>
  <si>
    <t>R13108</t>
  </si>
  <si>
    <t>R12723</t>
  </si>
  <si>
    <t>IDM019</t>
  </si>
  <si>
    <t>KYB025</t>
  </si>
  <si>
    <t>R13132</t>
  </si>
  <si>
    <t>R12795</t>
  </si>
  <si>
    <t>Cance/ruko sudah di beli oleh toko emas dan tidak bisa di pp</t>
  </si>
  <si>
    <t>Deal/Sewa 5 tahun/18jt/thn</t>
  </si>
  <si>
    <t>PP harga sama, Min PP 3 tahun</t>
  </si>
  <si>
    <t>R13154</t>
  </si>
  <si>
    <t>R12797</t>
  </si>
  <si>
    <t>CKR021</t>
  </si>
  <si>
    <t>04 Juli 2026</t>
  </si>
  <si>
    <t>Kalau PP 5 tahun harga tidak naik</t>
  </si>
  <si>
    <t>R12768</t>
  </si>
  <si>
    <t>R13071</t>
  </si>
  <si>
    <t>KWG023</t>
  </si>
  <si>
    <t>R13056</t>
  </si>
  <si>
    <t>22/05/2026</t>
  </si>
  <si>
    <t>R13160</t>
  </si>
  <si>
    <t>CPT003</t>
  </si>
  <si>
    <t>R13052</t>
  </si>
  <si>
    <t>R13212</t>
  </si>
  <si>
    <t>Untuk pembayaran sisa 2 tahun minta ada kenaikan 60jt/thn, dp 20%</t>
  </si>
  <si>
    <t>R12853</t>
  </si>
  <si>
    <t>R13122</t>
  </si>
  <si>
    <t>KWG001</t>
  </si>
  <si>
    <t>Cancel/management membatalkan sewa/1 ruko uk 3x10 harga 60jt/thn, 2 ruko uk 6x10 100jt/thn/ masing2 2 lantai</t>
  </si>
  <si>
    <t>R12998</t>
  </si>
  <si>
    <t>R13146</t>
  </si>
  <si>
    <t>CKG046</t>
  </si>
  <si>
    <t>R12823</t>
  </si>
  <si>
    <t>25/05/2026</t>
  </si>
  <si>
    <t>02 Juli 2026</t>
  </si>
  <si>
    <t>di keep dika, karna upc dari pak Yadi broker biasanya pak sam yang langsung nego</t>
  </si>
  <si>
    <t>R12921</t>
  </si>
  <si>
    <t>R12957</t>
  </si>
  <si>
    <t>PWK008</t>
  </si>
  <si>
    <t>R13011</t>
  </si>
  <si>
    <t>28/05/2026</t>
  </si>
  <si>
    <t>R13169</t>
  </si>
  <si>
    <t>BDG008</t>
  </si>
  <si>
    <t>R12862</t>
  </si>
  <si>
    <t>Pemilik mau menjual semua ruko dan tidak mau di pp</t>
  </si>
  <si>
    <t>R13210</t>
  </si>
  <si>
    <t>IDM006</t>
  </si>
  <si>
    <t>R12962</t>
  </si>
  <si>
    <t>Cancel/sudah tersewa tanya sepengetahuan PGI</t>
  </si>
  <si>
    <t>R13196</t>
  </si>
  <si>
    <t>R12986</t>
  </si>
  <si>
    <t>CBI019</t>
  </si>
  <si>
    <t>R13018</t>
  </si>
  <si>
    <t>R13136</t>
  </si>
  <si>
    <t>R13062</t>
  </si>
  <si>
    <t>Sudah tersewa sejak idul adha</t>
  </si>
  <si>
    <t>KWG024</t>
  </si>
  <si>
    <t>R12857</t>
  </si>
  <si>
    <t>Pemilik minta setiap tahun ada kenaikan di 15%/sudah di info pemilik kenaikan hanya bisa di tahun 4&amp;5 saja</t>
  </si>
  <si>
    <t>R13020</t>
  </si>
  <si>
    <t>Tidak bisa menyewakan ke PGI</t>
  </si>
  <si>
    <t>CBI046(plbrn)</t>
  </si>
  <si>
    <t>R13256</t>
  </si>
  <si>
    <t>R12983</t>
  </si>
  <si>
    <t>UNR004</t>
  </si>
  <si>
    <t>Tahun 1- 3 65jt/thn/tahun 3 - 5 70jt/thn</t>
  </si>
  <si>
    <t>R13281</t>
  </si>
  <si>
    <t>R12513</t>
  </si>
  <si>
    <t>30/05/2026</t>
  </si>
  <si>
    <t>Pak Sam tidak mau</t>
  </si>
  <si>
    <t>PWT009</t>
  </si>
  <si>
    <t>R11581</t>
  </si>
  <si>
    <t>R13336</t>
  </si>
  <si>
    <t>Cancel/Ruko sudah terisi 3 bulan yang lalu</t>
  </si>
  <si>
    <t>GGP023</t>
  </si>
  <si>
    <t>R11597</t>
  </si>
  <si>
    <t>R13288</t>
  </si>
  <si>
    <t>UPC sedang di team sewa karna tidak ada nama pemilik ruko</t>
  </si>
  <si>
    <t>R12945</t>
  </si>
  <si>
    <t>R13322</t>
  </si>
  <si>
    <t>TNG016</t>
  </si>
  <si>
    <t>Minta langsung 5 tahun</t>
  </si>
  <si>
    <t>R12977</t>
  </si>
  <si>
    <t>R13410</t>
  </si>
  <si>
    <t>Cancel/Ruko sudah terisi seminggu yang lalu</t>
  </si>
  <si>
    <t>Diskusi keluarga</t>
  </si>
  <si>
    <t>R13003</t>
  </si>
  <si>
    <t>Rundingan/Acc grup</t>
  </si>
  <si>
    <t>SNG008</t>
  </si>
  <si>
    <t>R13325</t>
  </si>
  <si>
    <t>Cancel/Ruko sudah terisi sewa 3 tahun oleh rumah makan</t>
  </si>
  <si>
    <t>R12935</t>
  </si>
  <si>
    <t>Nego ulang bulan September</t>
  </si>
  <si>
    <t>Cancel/management menggagalkan sewa</t>
  </si>
  <si>
    <t>SBR012</t>
  </si>
  <si>
    <t>R12988</t>
  </si>
  <si>
    <t>R13323</t>
  </si>
  <si>
    <t>Cancel/sudah di nego namun karna tidak mau di harga 100jt/thn, diberikan ke penyewa lain</t>
  </si>
  <si>
    <t>R13073</t>
  </si>
  <si>
    <t>SMD008</t>
  </si>
  <si>
    <t>R13259</t>
  </si>
  <si>
    <t>R13074</t>
  </si>
  <si>
    <t>Sudah tersewa sejak tanggal 14/6</t>
  </si>
  <si>
    <t>Harga 1 ruko tidak turun, harga 2 ruko 58jt/thn, namun di kasih 50jt/thn</t>
  </si>
  <si>
    <t>R13253</t>
  </si>
  <si>
    <t>R13129</t>
  </si>
  <si>
    <t>Cancel/Pemilik membatalkan sewa</t>
  </si>
  <si>
    <t>R13402</t>
  </si>
  <si>
    <t>R13233</t>
  </si>
  <si>
    <t>SNG009</t>
  </si>
  <si>
    <t>R13312</t>
  </si>
  <si>
    <t>R13232</t>
  </si>
  <si>
    <t>R13252</t>
  </si>
  <si>
    <t>CPT021</t>
  </si>
  <si>
    <t>R13123</t>
  </si>
  <si>
    <t>R13348</t>
  </si>
  <si>
    <t>Cancel/ruko sudah tersewa sebelum penerimaan upc</t>
  </si>
  <si>
    <t>R13243</t>
  </si>
  <si>
    <t>R13431</t>
  </si>
  <si>
    <t>Flat sampai 5 tahun</t>
  </si>
  <si>
    <t>R13085</t>
  </si>
  <si>
    <t>CBI047</t>
  </si>
  <si>
    <t>Cancel/pemilik tidak mau tempatnya di gunakan pegadaian dikarenakan riba menurut pemilik</t>
  </si>
  <si>
    <t>R13390</t>
  </si>
  <si>
    <t>R13133</t>
  </si>
  <si>
    <t>Kalau pp 5 tahun 32,5jt</t>
  </si>
  <si>
    <t>MJL008</t>
  </si>
  <si>
    <t>Pembayaran langsung 5 tahun</t>
  </si>
  <si>
    <t>R13305</t>
  </si>
  <si>
    <t>Min PP 3 tahun</t>
  </si>
  <si>
    <t>R13093</t>
  </si>
  <si>
    <t>SNG010</t>
  </si>
  <si>
    <t>R13409</t>
  </si>
  <si>
    <t>Cancel/luas bangunan tidak sesuai</t>
  </si>
  <si>
    <t>R13017</t>
  </si>
  <si>
    <t>Cancel/sebelum terima upc ruko sudah tersewa</t>
  </si>
  <si>
    <t>R13459</t>
  </si>
  <si>
    <t>R13139</t>
  </si>
  <si>
    <t>KWG026</t>
  </si>
  <si>
    <t>13/06/2026</t>
  </si>
  <si>
    <t>Sudah tersewa karena harga PGI rendah</t>
  </si>
  <si>
    <t>R13401</t>
  </si>
  <si>
    <t>R13320</t>
  </si>
  <si>
    <t>PWT003</t>
  </si>
  <si>
    <t>Minta pembayaran langsung 5 tahun</t>
  </si>
  <si>
    <t>Cancel/ruko tidak sesuai</t>
  </si>
  <si>
    <t>R13421</t>
  </si>
  <si>
    <t>R13278</t>
  </si>
  <si>
    <t>41,5jt/2 tahun</t>
  </si>
  <si>
    <t>DPK038</t>
  </si>
  <si>
    <t>Hanya bisa disewa pertahun</t>
  </si>
  <si>
    <t>Sewa 3 tahun dengan isi surat perjanjian khusus</t>
  </si>
  <si>
    <t>R13422</t>
  </si>
  <si>
    <t>R13276</t>
  </si>
  <si>
    <t>Belum merespon lagi</t>
  </si>
  <si>
    <t>SMD007</t>
  </si>
  <si>
    <t>R13272</t>
  </si>
  <si>
    <t>R11948</t>
  </si>
  <si>
    <t>R13156</t>
  </si>
  <si>
    <t>R11158</t>
  </si>
  <si>
    <t>Info pemilik harga 30jt/thn flat sampai 5 tahun</t>
  </si>
  <si>
    <t>BKS019</t>
  </si>
  <si>
    <t>R13091</t>
  </si>
  <si>
    <t>Ruko tidak jadi disewa dan dijual</t>
  </si>
  <si>
    <t>R11163</t>
  </si>
  <si>
    <t>Ruko di nego langsung dengan KC/Pembayaran langsung 5 tahun</t>
  </si>
  <si>
    <t>R13206</t>
  </si>
  <si>
    <t>Sudah tersewa sejak 5 bulan yang lalu</t>
  </si>
  <si>
    <t>RKB004</t>
  </si>
  <si>
    <t>R11945</t>
  </si>
  <si>
    <t>Cancel/Management membatalkan sewa</t>
  </si>
  <si>
    <t>R13205</t>
  </si>
  <si>
    <t>Sudah tersewa sejak puasa</t>
  </si>
  <si>
    <t>R11166</t>
  </si>
  <si>
    <t>80jt/5 tahun</t>
  </si>
  <si>
    <t>R12953</t>
  </si>
  <si>
    <t>14/06/2026</t>
  </si>
  <si>
    <t>BJR002</t>
  </si>
  <si>
    <t>R11965</t>
  </si>
  <si>
    <t>R13219</t>
  </si>
  <si>
    <t>17/06/2026</t>
  </si>
  <si>
    <t>DPK018</t>
  </si>
  <si>
    <t>R13388</t>
  </si>
  <si>
    <t>20/06/2026</t>
  </si>
  <si>
    <t>R13275</t>
  </si>
  <si>
    <t>Cancel/ruko sudah terisi sebelum penerimaan UPC/sudah di terima team sewa namun keduluan</t>
  </si>
  <si>
    <t>R13373</t>
  </si>
  <si>
    <t>R12946</t>
  </si>
  <si>
    <t>Cancel/ruko sudah terisi sebelum penerimaan UPC</t>
  </si>
  <si>
    <t>Promo perpanjang percepatan (Mau PP percepatan 2 tahun)</t>
  </si>
  <si>
    <t>R13248</t>
  </si>
  <si>
    <t>R13572</t>
  </si>
  <si>
    <t>KYB014</t>
  </si>
  <si>
    <t>R13354</t>
  </si>
  <si>
    <t>R13289</t>
  </si>
  <si>
    <t>Promo perpanjang percepatan (Tidak berkenan)</t>
  </si>
  <si>
    <t>Pohon boleh di tebang</t>
  </si>
  <si>
    <t>TGR004</t>
  </si>
  <si>
    <t>R13356</t>
  </si>
  <si>
    <t>R13229</t>
  </si>
  <si>
    <t>PPH di hilangkan, PBB hilang/toko handphone juga mau sewa</t>
  </si>
  <si>
    <t>Pak Sam tidak mau, Bapak tidak ACC</t>
  </si>
  <si>
    <t>R13397</t>
  </si>
  <si>
    <t>R13524</t>
  </si>
  <si>
    <t>Cancel/pemilik menolak sewa karna adanya banner dan tidak mau menunjukan surat2/Pemilik minta di sewa ulang/Acc</t>
  </si>
  <si>
    <t>Promo perpanjang percepatan (Belum merespon)</t>
  </si>
  <si>
    <t>R13285</t>
  </si>
  <si>
    <t>22/06/2026</t>
  </si>
  <si>
    <t>BJR001</t>
  </si>
  <si>
    <t>R13230</t>
  </si>
  <si>
    <t>untuk harga 15jt/hanya untuk kios 3x6, kalau ambil sambil belakang di 18jt/thn boleh di bobok</t>
  </si>
  <si>
    <t>R13652</t>
  </si>
  <si>
    <t>R13413</t>
  </si>
  <si>
    <t>24/06/2026</t>
  </si>
  <si>
    <t>R13645</t>
  </si>
  <si>
    <t>R13433</t>
  </si>
  <si>
    <t>Cancel/ruko sudah terisi petshop dan toko listrik</t>
  </si>
  <si>
    <t>Sudah tersewa ke penawar tertinggi</t>
  </si>
  <si>
    <t>CBI007</t>
  </si>
  <si>
    <t>R13637</t>
  </si>
  <si>
    <t>R13452</t>
  </si>
  <si>
    <t>Lebih ingin disewakan ke momoyo</t>
  </si>
  <si>
    <t>Pemilik minta pembayaran langsung 5 tahun</t>
  </si>
  <si>
    <t>R13619</t>
  </si>
  <si>
    <t>R13425</t>
  </si>
  <si>
    <t>Cancel/Pemilik mematalkan sewa, ingin di gunakan sendiri untuk toko alat sembahyang</t>
  </si>
  <si>
    <t>R13605</t>
  </si>
  <si>
    <t>R13456</t>
  </si>
  <si>
    <t>R13457</t>
  </si>
  <si>
    <t>R13569</t>
  </si>
  <si>
    <t>BBS003</t>
  </si>
  <si>
    <t>R11968</t>
  </si>
  <si>
    <t>29/06/2026</t>
  </si>
  <si>
    <t>Cancel/ruko sudah terisi sejak 3 bulan yang lalu</t>
  </si>
  <si>
    <t>R13449</t>
  </si>
  <si>
    <t>R11961</t>
  </si>
  <si>
    <t>30/06/2026</t>
  </si>
  <si>
    <t>Cancel/pemilik hanya mau di jual</t>
  </si>
  <si>
    <t>R13416</t>
  </si>
  <si>
    <t>R11153</t>
  </si>
  <si>
    <t>Cancel/ruko tidak di sewakan, ruko di jual</t>
  </si>
  <si>
    <t>R11144</t>
  </si>
  <si>
    <t>R13489</t>
  </si>
  <si>
    <t>Cancel/ruko sudah terisi akhir bulan Mei 2026</t>
  </si>
  <si>
    <t>R11150</t>
  </si>
  <si>
    <t>R13483</t>
  </si>
  <si>
    <t>Cancel/ruko sudah terisi tahun lalu</t>
  </si>
  <si>
    <t>CJR011</t>
  </si>
  <si>
    <t>R11149</t>
  </si>
  <si>
    <t>Cancel karena sewa opsi 1</t>
  </si>
  <si>
    <t>R13488</t>
  </si>
  <si>
    <t>Cancel/ruko sudah terisi bulan Desember 2025</t>
  </si>
  <si>
    <t>R13595</t>
  </si>
  <si>
    <t>R13443</t>
  </si>
  <si>
    <t>KNG007</t>
  </si>
  <si>
    <t>Pembayaran 3+2/Net</t>
  </si>
  <si>
    <t>R13414</t>
  </si>
  <si>
    <t>Nego ulang</t>
  </si>
  <si>
    <t>R13486</t>
  </si>
  <si>
    <t>PGI ambil 1 ruko</t>
  </si>
  <si>
    <t>R13490</t>
  </si>
  <si>
    <t>pak Sam tidak mau</t>
  </si>
  <si>
    <t>Cancel/Management memabatalkan sewa</t>
  </si>
  <si>
    <t>R13802</t>
  </si>
  <si>
    <t>R13614</t>
  </si>
  <si>
    <t>GRT020</t>
  </si>
  <si>
    <t>Pemilik minta sewa 3 tahun dulu di 100jt/3thn namun apabila langsung 5 tahun bisa di 30jt/thn</t>
  </si>
  <si>
    <t>pak Sam tidak mau (harga mahal)</t>
  </si>
  <si>
    <t>R13247</t>
  </si>
  <si>
    <t>R13803</t>
  </si>
  <si>
    <t>R13293</t>
  </si>
  <si>
    <t>R13116</t>
  </si>
  <si>
    <t>dari uk 6x24 di pangkas menjadi 6x14 dikarenakan mengikuti harga sewa yang PGI berikan</t>
  </si>
  <si>
    <t>R13732</t>
  </si>
  <si>
    <t>Ruko belum ada listrik, dan kamar mandi/3+2/NET</t>
  </si>
  <si>
    <t>CKG032</t>
  </si>
  <si>
    <t>R13715</t>
  </si>
  <si>
    <t>R13484</t>
  </si>
  <si>
    <t>Harga Net</t>
  </si>
  <si>
    <t>R13629</t>
  </si>
  <si>
    <t>R13471</t>
  </si>
  <si>
    <t>CKG005</t>
  </si>
  <si>
    <t>Pemilik info ada pebuatan tangga dan kamar mandi/3+2/Net</t>
  </si>
  <si>
    <t>R13596</t>
  </si>
  <si>
    <t>R13751</t>
  </si>
  <si>
    <t>60jt u/ 1 lantai / 70jt u/ 2 lantai/Net</t>
  </si>
  <si>
    <t>R13691</t>
  </si>
  <si>
    <t>R13994</t>
  </si>
  <si>
    <t>TGR012</t>
  </si>
  <si>
    <t>Pembayaran langsung 5 tahun/Net</t>
  </si>
  <si>
    <t>R13659</t>
  </si>
  <si>
    <t>3 tahun (Net)</t>
  </si>
  <si>
    <t>R13845</t>
  </si>
  <si>
    <t>CKG026</t>
  </si>
  <si>
    <t>R13420</t>
  </si>
  <si>
    <t>14/07/2026</t>
  </si>
  <si>
    <t xml:space="preserve">Cancel/management membatalkan sewa </t>
  </si>
  <si>
    <t>R14052</t>
  </si>
  <si>
    <t>R13434</t>
  </si>
  <si>
    <t>R14051</t>
  </si>
  <si>
    <t>SOR025</t>
  </si>
  <si>
    <t>15/07/2026</t>
  </si>
  <si>
    <t xml:space="preserve">3+2/Net </t>
  </si>
  <si>
    <t>R13713</t>
  </si>
  <si>
    <t>Pembayaran 3+2, dengan catatan khusus</t>
  </si>
  <si>
    <t>R13423</t>
  </si>
  <si>
    <t>20/07/2026</t>
  </si>
  <si>
    <t>R13916</t>
  </si>
  <si>
    <t>SLW008</t>
  </si>
  <si>
    <t>R13898</t>
  </si>
  <si>
    <t>21/07/2026</t>
  </si>
  <si>
    <t>R14009</t>
  </si>
  <si>
    <t>Sewa mengikuti kontrak sewa yang sebelumnya</t>
  </si>
  <si>
    <t>R13462</t>
  </si>
  <si>
    <t>R14010</t>
  </si>
  <si>
    <t>R13445</t>
  </si>
  <si>
    <t>DPR015</t>
  </si>
  <si>
    <t>R13440</t>
  </si>
  <si>
    <t>R13990</t>
  </si>
  <si>
    <t>3+2/Net (harus dilakukan pemasangan rolling door)</t>
  </si>
  <si>
    <t>R13227</t>
  </si>
  <si>
    <t>BDG011</t>
  </si>
  <si>
    <t>R13983</t>
  </si>
  <si>
    <t>R12587</t>
  </si>
  <si>
    <t>R13982</t>
  </si>
  <si>
    <t>Cancel/ruko sudah terisi jauh sebelum penerimaan UPC</t>
  </si>
  <si>
    <t>R13758</t>
  </si>
  <si>
    <t>BDG014</t>
  </si>
  <si>
    <t>R13988</t>
  </si>
  <si>
    <t>R13761</t>
  </si>
  <si>
    <t>3+2/NET</t>
  </si>
  <si>
    <t>R14005</t>
  </si>
  <si>
    <t>R13643</t>
  </si>
  <si>
    <t>PML003</t>
  </si>
  <si>
    <t>27/07/2026</t>
  </si>
  <si>
    <t>Cancel karena tidak merespon</t>
  </si>
  <si>
    <t>R13610</t>
  </si>
  <si>
    <t>R14021</t>
  </si>
  <si>
    <t>28/07/2026</t>
  </si>
  <si>
    <t>R14176</t>
  </si>
  <si>
    <t>jadi sewa ruko sebelah yang prima harha dari pemilik 48jt/thn, harga PGI 40jt/thn (3+2/Net) Deposit 5 jt/Notaris 1,5 @2 750rb</t>
  </si>
  <si>
    <t>R13681</t>
  </si>
  <si>
    <t>Sudah tersewa 1 minggu yang lalu</t>
  </si>
  <si>
    <t>R13882</t>
  </si>
  <si>
    <t>R13959</t>
  </si>
  <si>
    <t>Sudah tersewa penawar tertinggi</t>
  </si>
  <si>
    <t>R13954</t>
  </si>
  <si>
    <t>R14086</t>
  </si>
  <si>
    <t>R13839</t>
  </si>
  <si>
    <t>110jt/3 tahun</t>
  </si>
  <si>
    <t>Cancel/ruko hanya mau dijual, apabila tetap mau di sewa bisa tapi harus keluar apabila pemilik yang baru tidak mau di sewa PGI</t>
  </si>
  <si>
    <t>Promo perpanjang percepatan (mau PP percepatan 2 tahun)</t>
  </si>
  <si>
    <t>R13863</t>
  </si>
  <si>
    <t>R13828</t>
  </si>
  <si>
    <t>CPT026</t>
  </si>
  <si>
    <t>3+2/Net</t>
  </si>
  <si>
    <t>Pak Sam tidak mau karena oper kontrak</t>
  </si>
  <si>
    <t>R13833</t>
  </si>
  <si>
    <t>R13686</t>
  </si>
  <si>
    <t>Cari opsi lain untuk daerah jawa/3+2/Net</t>
  </si>
  <si>
    <t>Mau dipakai anaknya</t>
  </si>
  <si>
    <t>R14020</t>
  </si>
  <si>
    <t>R13870</t>
  </si>
  <si>
    <t>KYB017</t>
  </si>
  <si>
    <t>3+2/Net (Deposit 1jt)</t>
  </si>
  <si>
    <t>R13555</t>
  </si>
  <si>
    <t>R13880</t>
  </si>
  <si>
    <t>R14014</t>
  </si>
  <si>
    <t>R13497</t>
  </si>
  <si>
    <t>KNG005</t>
  </si>
  <si>
    <t>3+2/Net (Dp 2jt/Deposit 3jt, PBB Pemilik, PPh penyewa, Notaris 1,5 @2 750rb)</t>
  </si>
  <si>
    <t>R14008</t>
  </si>
  <si>
    <t>Sudah tersewa sejak 5/8</t>
  </si>
  <si>
    <t>R13548</t>
  </si>
  <si>
    <t>R14012</t>
  </si>
  <si>
    <t>Sudah tersewa sejak 10/8</t>
  </si>
  <si>
    <t>Opsi cari ruko lain/sewa 3 tahun dulu/karna ruko rencana mau di jual dan apabila terjual pemilik lama akan konforimasi apakah PGI bisa sampai selesai sewa, apabila tidak akan di kasih waktu 3 bulan untuk pengosongan tempat</t>
  </si>
  <si>
    <t>R13972</t>
  </si>
  <si>
    <t>R14036</t>
  </si>
  <si>
    <t>R13734</t>
  </si>
  <si>
    <t>R14038</t>
  </si>
  <si>
    <t>Cancel/Management membatalkan sewa ambil ruko opsi 1</t>
  </si>
  <si>
    <t>R13287</t>
  </si>
  <si>
    <t>R14032</t>
  </si>
  <si>
    <t>Sudah tersewa sejak bulan Juni</t>
  </si>
  <si>
    <t>R14070</t>
  </si>
  <si>
    <t>R14256</t>
  </si>
  <si>
    <t>R14069</t>
  </si>
  <si>
    <t>R13570</t>
  </si>
  <si>
    <t>R14082</t>
  </si>
  <si>
    <t>Cancel by pak Sam (harga mahal)</t>
  </si>
  <si>
    <t>R14247</t>
  </si>
  <si>
    <t>R13993</t>
  </si>
  <si>
    <t>Tidak mau nego via telp &amp; chat</t>
  </si>
  <si>
    <t>R13608</t>
  </si>
  <si>
    <t>R14273</t>
  </si>
  <si>
    <t>Cancel/ruko sudah terisi sebelum upc diterima</t>
  </si>
  <si>
    <t>R13970</t>
  </si>
  <si>
    <t>Pending tunggu Opsi (upc di dika)</t>
  </si>
  <si>
    <t>R14204</t>
  </si>
  <si>
    <t>R14128</t>
  </si>
  <si>
    <t>Cancel/pemilik ruko tidak mau di sewa oleh PGI</t>
  </si>
  <si>
    <t>R12915</t>
  </si>
  <si>
    <t>BBS002</t>
  </si>
  <si>
    <t>R14121</t>
  </si>
  <si>
    <t>Tidak bisa dihubungi</t>
  </si>
  <si>
    <t>R14104</t>
  </si>
  <si>
    <t>R14263</t>
  </si>
  <si>
    <t>R13929</t>
  </si>
  <si>
    <t>R14227</t>
  </si>
  <si>
    <t>BKS030</t>
  </si>
  <si>
    <t>R14171</t>
  </si>
  <si>
    <t>R14219</t>
  </si>
  <si>
    <t>R14265</t>
  </si>
  <si>
    <t>Cancel/Lagi proses negosiasi</t>
  </si>
  <si>
    <t>CKR009</t>
  </si>
  <si>
    <t>R14103</t>
  </si>
  <si>
    <t>Tidak mau lagi disewa jenis usaha gadai</t>
  </si>
  <si>
    <t>R14208</t>
  </si>
  <si>
    <t>3+2/Net (Pending Negosiasi dari Pak Sam 19/08/2026) di ambil dika</t>
  </si>
  <si>
    <t>R14148</t>
  </si>
  <si>
    <t>R14126</t>
  </si>
  <si>
    <t>Cancel/ruko sudah tersewa sebelum penerimaan UPC</t>
  </si>
  <si>
    <t>R14155</t>
  </si>
  <si>
    <t>R14251</t>
  </si>
  <si>
    <t>R13500</t>
  </si>
  <si>
    <t>GGP011</t>
  </si>
  <si>
    <t>R13589</t>
  </si>
  <si>
    <t>R13755</t>
  </si>
  <si>
    <t>R13624</t>
  </si>
  <si>
    <t>R14248</t>
  </si>
  <si>
    <t>CKG025</t>
  </si>
  <si>
    <t>Hold by pak Sam sampai 7/10</t>
  </si>
  <si>
    <t>3+2/Net ( Notaris 2,5 namun PGI hanya membayarkan 1jt)</t>
  </si>
  <si>
    <t>R14237</t>
  </si>
  <si>
    <t>R14132</t>
  </si>
  <si>
    <t>R14369</t>
  </si>
  <si>
    <t>3+2/Net (Info Pemilik ruko juga mau dijual)</t>
  </si>
  <si>
    <t>PWT013</t>
  </si>
  <si>
    <t>R14163</t>
  </si>
  <si>
    <t>Sewa 3 tahun (Notaris 1-1,5 @2)</t>
  </si>
  <si>
    <t>R14414</t>
  </si>
  <si>
    <t>R13507</t>
  </si>
  <si>
    <t>R14473</t>
  </si>
  <si>
    <t>R13850</t>
  </si>
  <si>
    <t>Cancel/Pemilik terima tawaran dari JNT, karna sebelum PGI JNT sudah lebih dulu nego harga</t>
  </si>
  <si>
    <t>Keluarga tidak mau di sewa usaha gadai</t>
  </si>
  <si>
    <t>R14228</t>
  </si>
  <si>
    <t>BBS001</t>
  </si>
  <si>
    <t>R14505</t>
  </si>
  <si>
    <t>R13830</t>
  </si>
  <si>
    <t>R13606</t>
  </si>
  <si>
    <t xml:space="preserve">Sewa ambil 2 ruko 50jt/thn (3+2 Net) </t>
  </si>
  <si>
    <t>IDM018</t>
  </si>
  <si>
    <t>R14130</t>
  </si>
  <si>
    <t>R14402</t>
  </si>
  <si>
    <t>R13765</t>
  </si>
  <si>
    <t>Hold by pak Sam sampai 30/9</t>
  </si>
  <si>
    <t>3+2/Net (Dp 2jt)</t>
  </si>
  <si>
    <t>R13533</t>
  </si>
  <si>
    <t>R14206</t>
  </si>
  <si>
    <t>R13776</t>
  </si>
  <si>
    <t>13/08/2026</t>
  </si>
  <si>
    <t>Masih runding harga</t>
  </si>
  <si>
    <t>R14306</t>
  </si>
  <si>
    <t>R14285</t>
  </si>
  <si>
    <t>Pembayaran 1-3 tahun 45jt/thn/Sisa 2 tahun naik menjadi 50jt/thn (Deposit 5jt)</t>
  </si>
  <si>
    <t>Tidak jadi overkontrak</t>
  </si>
  <si>
    <t>R14305</t>
  </si>
  <si>
    <t>R14117</t>
  </si>
  <si>
    <t>R14184</t>
  </si>
  <si>
    <t>19/08/2026</t>
  </si>
  <si>
    <t>R13679</t>
  </si>
  <si>
    <t>Cancel/Informasi pemilik bahwa ruko belum di sewakan, nanti akan di infokan apabila sudah di sewa</t>
  </si>
  <si>
    <t>R14189</t>
  </si>
  <si>
    <t>R14134</t>
  </si>
  <si>
    <t>Cancel/Pemilik hanya mau di sewa maksimal 2 tahun, dan tidak sama sekali mau menunjukan surat2 kepemilikan</t>
  </si>
  <si>
    <t>Sudah tersewa sejak 13 agustus</t>
  </si>
  <si>
    <t>R14191</t>
  </si>
  <si>
    <t>R14157</t>
  </si>
  <si>
    <t>R14281</t>
  </si>
  <si>
    <t>R14319</t>
  </si>
  <si>
    <t>R14185</t>
  </si>
  <si>
    <t>R14497</t>
  </si>
  <si>
    <t>Cancel/Ruko sudah terisi 5 hari yang lalu, sedang dalam proses negosiasi deadline waktu 10/09/2026</t>
  </si>
  <si>
    <t>R14174</t>
  </si>
  <si>
    <t>Cancel/ruko sudah tersewa sebelum penerimaan UPC, dinego 19/08/2026</t>
  </si>
  <si>
    <t>R14453</t>
  </si>
  <si>
    <t>R14075</t>
  </si>
  <si>
    <t>Manajemen tidak mau</t>
  </si>
  <si>
    <t>R14641</t>
  </si>
  <si>
    <t>R14205</t>
  </si>
  <si>
    <t>3+2/Net (Deposit 5jt)</t>
  </si>
  <si>
    <t>Lagi cari opsi</t>
  </si>
  <si>
    <t>R14255</t>
  </si>
  <si>
    <t>R14653</t>
  </si>
  <si>
    <t>27/08/2026</t>
  </si>
  <si>
    <t>3+2/Net (Pusat gadai indonesia, sewa ruko warna hijau)</t>
  </si>
  <si>
    <t>Harga tidak bisa sama dengan PWT002</t>
  </si>
  <si>
    <t>R14385</t>
  </si>
  <si>
    <t>R14326</t>
  </si>
  <si>
    <t>R14336</t>
  </si>
  <si>
    <t>R13697</t>
  </si>
  <si>
    <t>R14387</t>
  </si>
  <si>
    <t>Cancel/Ruko sudah terisi sebelum penerimaan UPC, Nego 27/08/2026</t>
  </si>
  <si>
    <t>R13516</t>
  </si>
  <si>
    <t>R14302</t>
  </si>
  <si>
    <t>Cancel/Ruko sudah di DP outlet lain</t>
  </si>
  <si>
    <t>R14250</t>
  </si>
  <si>
    <t>R13588</t>
  </si>
  <si>
    <t>R14050</t>
  </si>
  <si>
    <t>Sudah tersewa sejak bulan Juli</t>
  </si>
  <si>
    <t>R14361</t>
  </si>
  <si>
    <t>R14429</t>
  </si>
  <si>
    <t>R14578</t>
  </si>
  <si>
    <t>R14512</t>
  </si>
  <si>
    <t>R14603</t>
  </si>
  <si>
    <t>65jt (Pembayaran langsung 5thn) 70jt (3+2/Net)</t>
  </si>
  <si>
    <t>R14548</t>
  </si>
  <si>
    <t>R13910</t>
  </si>
  <si>
    <t>R14569</t>
  </si>
  <si>
    <t>Cancel/ruko sudah terisi sebelum di lakukan negosiasi</t>
  </si>
  <si>
    <t>R14351</t>
  </si>
  <si>
    <t>Sudah tersewa sejak 8/9</t>
  </si>
  <si>
    <t>R14657</t>
  </si>
  <si>
    <t>R14660</t>
  </si>
  <si>
    <t>R13956</t>
  </si>
  <si>
    <t>Hold by pak Sam sampai 10/10</t>
  </si>
  <si>
    <t>R14587</t>
  </si>
  <si>
    <t>R14339</t>
  </si>
  <si>
    <t>R14616</t>
  </si>
  <si>
    <t>3+2/Net (Sewa 2 ruko)</t>
  </si>
  <si>
    <t>R14100</t>
  </si>
  <si>
    <t>R14588</t>
  </si>
  <si>
    <t>R14495</t>
  </si>
  <si>
    <t>Tidak jadi disewakan, mau dipakai sendiri</t>
  </si>
  <si>
    <t>R14683</t>
  </si>
  <si>
    <t>R14391</t>
  </si>
  <si>
    <t>1-3 thn 45jt/thn / 2&amp;5 thn 50jt/thn</t>
  </si>
  <si>
    <t>R14806</t>
  </si>
  <si>
    <t>R14447</t>
  </si>
  <si>
    <t>Cancel/management tidak bisa kalau sewa hanya 2thn saja</t>
  </si>
  <si>
    <t>R14467</t>
  </si>
  <si>
    <t>R14446</t>
  </si>
  <si>
    <t>R14832</t>
  </si>
  <si>
    <t>R14359</t>
  </si>
  <si>
    <t>Cancel/ruko sudah tersewa pada saat di negosiasi</t>
  </si>
  <si>
    <t>R13917</t>
  </si>
  <si>
    <t>R14700</t>
  </si>
  <si>
    <t>R14518</t>
  </si>
  <si>
    <t>R14687</t>
  </si>
  <si>
    <t>R14696</t>
  </si>
  <si>
    <t>R14458</t>
  </si>
  <si>
    <t>R14710</t>
  </si>
  <si>
    <t>R13785</t>
  </si>
  <si>
    <t>R14526</t>
  </si>
  <si>
    <t>3+2/Net (Tanpa Notaris)</t>
  </si>
  <si>
    <t>R14736</t>
  </si>
  <si>
    <t>R14519</t>
  </si>
  <si>
    <t>1-3 thn 30jt/thn / 2-5 thn 35jt/thn (Tanpa Notaris)</t>
  </si>
  <si>
    <t>R14648</t>
  </si>
  <si>
    <t>R14324</t>
  </si>
  <si>
    <t>R14368</t>
  </si>
  <si>
    <t>Cancel/management membatalkan sewa (Harga net 68jt/thn (Skema 3+2 tidak bisa, perdua tahun tetap akan ada kenaikan di 2-3jt)</t>
  </si>
  <si>
    <t>R14266</t>
  </si>
  <si>
    <t>R14284</t>
  </si>
  <si>
    <t>R14563</t>
  </si>
  <si>
    <t>3+2/Net (Deposit 15jt)</t>
  </si>
  <si>
    <t>R14551</t>
  </si>
  <si>
    <t>Pemilik tidak mau di negosiasi</t>
  </si>
  <si>
    <t>R14655</t>
  </si>
  <si>
    <t>R14590</t>
  </si>
  <si>
    <t>Pembayaran langsung 5 tahun (Tanpa Notaris)</t>
  </si>
  <si>
    <t>R14547</t>
  </si>
  <si>
    <t>Cancel/management membatalkan sewa (Salah harga, aslinya 90jt/thn)</t>
  </si>
  <si>
    <t>R14577</t>
  </si>
  <si>
    <t>R14584</t>
  </si>
  <si>
    <t>R14523</t>
  </si>
  <si>
    <t>Cancel/Ruko sudah tersewa sebelum UPC diberikan</t>
  </si>
  <si>
    <t>R14627</t>
  </si>
  <si>
    <t>R14726</t>
  </si>
  <si>
    <t>22/09/2026</t>
  </si>
  <si>
    <t>3+2/Net (Tanpa Notaris) Pemilik maunya pegadaian syahriah</t>
  </si>
  <si>
    <t>R14678</t>
  </si>
  <si>
    <t>R14702</t>
  </si>
  <si>
    <t>R14768</t>
  </si>
  <si>
    <t>R14713</t>
  </si>
  <si>
    <t>R14635</t>
  </si>
  <si>
    <t>3+2/Net (Tanpa Notaris) Deposit 5jt</t>
  </si>
  <si>
    <t>R14701</t>
  </si>
  <si>
    <t>R14487</t>
  </si>
  <si>
    <t>1-3 thn 52jt/thn / 4&amp;5 thn 55jt/thn</t>
  </si>
  <si>
    <t>R14821</t>
  </si>
  <si>
    <t xml:space="preserve">3+2/Net (Tanpa Notaris) </t>
  </si>
  <si>
    <t>R14451</t>
  </si>
  <si>
    <t>Belum di data karna kode upc belum muncul di program baru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</si>
</sst>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Rp]#,##0"/>
    <numFmt numFmtId="165" formatCode="mm/dd/yy"/>
    <numFmt numFmtId="166" formatCode="dd-mmm-yy"/>
    <numFmt numFmtId="167" formatCode="m/d/yyyy"/>
    <numFmt numFmtId="168" formatCode="dd mmmm yyyy"/>
    <numFmt numFmtId="169" formatCode="d mmmm yyyy"/>
    <numFmt numFmtId="170" formatCode="d-mmm-yy"/>
    <numFmt numFmtId="171" formatCode="mm/dd/yyyy"/>
    <numFmt numFmtId="172" formatCode="dd-mmmm-yy"/>
    <numFmt numFmtId="173" formatCode="d-mmmm-yy"/>
  </numFmts>
  <fonts count="1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Calibri"/>
    </font>
    <font>
      <sz val="11.0"/>
      <color rgb="FFFBBC04"/>
      <name val="Calibri"/>
    </font>
    <font>
      <sz val="11.0"/>
      <color rgb="FFA9D08E"/>
      <name val="Calibri"/>
    </font>
    <font>
      <sz val="11.0"/>
      <color rgb="FFFFD966"/>
      <name val="Calibri"/>
    </font>
    <font>
      <color rgb="FF000000"/>
      <name val="Arial"/>
    </font>
    <font>
      <color theme="1"/>
      <name val="Arial"/>
    </font>
    <font>
      <sz val="11.0"/>
      <color rgb="FF434343"/>
      <name val="Calibri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D966"/>
        <bgColor rgb="FFFFD966"/>
      </patternFill>
    </fill>
    <fill>
      <patternFill patternType="solid">
        <fgColor theme="5"/>
        <bgColor theme="5"/>
      </patternFill>
    </fill>
    <fill>
      <patternFill patternType="solid">
        <fgColor rgb="FFFF3300"/>
        <bgColor rgb="FFFF33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0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horizontal="right"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0" xfId="0" applyAlignment="1" applyBorder="1" applyFont="1" applyNumberFormat="1">
      <alignment horizontal="center"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0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1" numFmtId="0" xfId="0" applyFont="1"/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0" fontId="2" numFmtId="166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7" xfId="0" applyAlignment="1" applyBorder="1" applyFont="1" applyNumberForma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right" shrinkToFit="0" vertical="center" wrapText="0"/>
    </xf>
    <xf borderId="1" fillId="0" fontId="2" numFmtId="164" xfId="0" applyAlignment="1" applyBorder="1" applyFont="1" applyNumberFormat="1">
      <alignment horizontal="right" readingOrder="0" shrinkToFit="0" vertical="center" wrapText="0"/>
    </xf>
    <xf borderId="1" fillId="0" fontId="4" numFmtId="164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3" fontId="2" numFmtId="0" xfId="0" applyAlignment="1" applyBorder="1" applyFill="1" applyFont="1">
      <alignment readingOrder="0" shrinkToFit="0" vertical="center" wrapText="0"/>
    </xf>
    <xf borderId="1" fillId="0" fontId="4" numFmtId="10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2" numFmtId="10" xfId="0" applyAlignment="1" applyBorder="1" applyFont="1" applyNumberFormat="1">
      <alignment readingOrder="0" shrinkToFit="0" vertical="center" wrapText="0"/>
    </xf>
    <xf borderId="1" fillId="0" fontId="2" numFmtId="10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0" fontId="2" numFmtId="167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horizontal="right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0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8" xfId="0" applyAlignment="1" applyBorder="1" applyFont="1" applyNumberFormat="1">
      <alignment horizontal="center" readingOrder="0" shrinkToFit="0" vertical="bottom" wrapText="0"/>
    </xf>
    <xf borderId="1" fillId="0" fontId="2" numFmtId="169" xfId="0" applyAlignment="1" applyBorder="1" applyFont="1" applyNumberFormat="1">
      <alignment horizontal="center" readingOrder="0" shrinkToFit="0" vertical="bottom" wrapText="0"/>
    </xf>
    <xf borderId="1" fillId="0" fontId="2" numFmtId="169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0" fontId="2" numFmtId="170" xfId="0" applyAlignment="1" applyBorder="1" applyFont="1" applyNumberFormat="1">
      <alignment horizontal="center" shrinkToFit="0" vertical="bottom" wrapText="0"/>
    </xf>
    <xf borderId="1" fillId="0" fontId="2" numFmtId="168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0" fontId="2" numFmtId="164" xfId="0" applyAlignment="1" applyBorder="1" applyFont="1" applyNumberFormat="1">
      <alignment horizontal="right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0" xfId="0" applyAlignment="1" applyBorder="1" applyFont="1" applyNumberFormat="1">
      <alignment shrinkToFit="0" vertical="bottom" wrapText="0"/>
    </xf>
    <xf borderId="1" fillId="0" fontId="2" numFmtId="171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0" xfId="0" applyAlignment="1" applyBorder="1" applyFont="1" applyNumberFormat="1">
      <alignment readingOrder="0" shrinkToFit="0" vertical="bottom" wrapText="0"/>
    </xf>
    <xf borderId="1" fillId="0" fontId="5" numFmtId="164" xfId="0" applyAlignment="1" applyBorder="1" applyFont="1" applyNumberFormat="1">
      <alignment horizontal="center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171" xfId="0" applyAlignment="1" applyBorder="1" applyFont="1" applyNumberFormat="1">
      <alignment horizontal="center" readingOrder="0" shrinkToFit="0" vertical="center" wrapText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shrinkToFit="0" vertical="center" wrapText="0"/>
    </xf>
    <xf borderId="1" fillId="0" fontId="2" numFmtId="171" xfId="0" applyAlignment="1" applyBorder="1" applyFont="1" applyNumberForma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6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2" numFmtId="170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3" fontId="7" numFmtId="0" xfId="0" applyAlignment="1" applyBorder="1" applyFill="1" applyFont="1">
      <alignment readingOrder="0" shrinkToFit="0" vertical="bottom" wrapText="0"/>
    </xf>
    <xf borderId="1" fillId="3" fontId="8" numFmtId="0" xfId="0" applyAlignment="1" applyBorder="1" applyFill="1" applyFont="1">
      <alignment readingOrder="0" shrinkToFit="0" vertical="bottom" wrapText="0"/>
    </xf>
    <xf borderId="1" fillId="4" fontId="8" numFmtId="0" xfId="0" applyAlignment="1" applyBorder="1" applyFill="1" applyFont="1">
      <alignment readingOrder="0" shrinkToFit="0" vertical="bottom" wrapText="0"/>
    </xf>
    <xf borderId="1" fillId="0" fontId="9" numFmtId="164" xfId="0" applyAlignment="1" applyBorder="1" applyFont="1" applyNumberFormat="1">
      <alignment shrinkToFit="0" vertical="bottom" wrapText="0"/>
    </xf>
    <xf borderId="1" fillId="0" fontId="2" numFmtId="172" xfId="0" applyAlignment="1" applyBorder="1" applyFont="1" applyNumberFormat="1">
      <alignment horizontal="center" shrinkToFit="0" vertical="bottom" wrapText="0"/>
    </xf>
    <xf borderId="1" fillId="0" fontId="9" numFmtId="164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72" xfId="0" applyAlignment="1" applyBorder="1" applyFont="1" applyNumberFormat="1">
      <alignment horizontal="center" readingOrder="0" shrinkToFit="0" vertical="bottom" wrapText="0"/>
    </xf>
    <xf borderId="1" fillId="0" fontId="2" numFmtId="10" xfId="0" applyAlignment="1" applyBorder="1" applyFont="1" applyNumberFormat="1">
      <alignment shrinkToFit="0" vertical="bottom" wrapText="0"/>
    </xf>
    <xf borderId="1" fillId="6" fontId="8" numFmtId="0" xfId="0" applyAlignment="1" applyBorder="1" applyFill="1" applyFont="1">
      <alignment readingOrder="0" shrinkToFit="0" vertical="bottom" wrapText="0"/>
    </xf>
    <xf borderId="1" fillId="0" fontId="2" numFmtId="173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readingOrder="0"/>
    </xf>
    <xf borderId="1" fillId="0" fontId="2" numFmtId="173" xfId="0" applyAlignment="1" applyBorder="1" applyFont="1" applyNumberFormat="1">
      <alignment horizontal="center" readingOrder="0" shrinkToFit="0" vertical="bottom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1" numFmtId="171" xfId="0" applyAlignment="1" applyBorder="1" applyFill="1" applyFont="1" applyNumberFormat="1">
      <alignment horizontal="center" readingOrder="0" shrinkToFit="0" vertical="center" wrapText="0"/>
    </xf>
    <xf borderId="1" fillId="2" fontId="1" numFmtId="164" xfId="0" applyAlignment="1" applyBorder="1" applyFill="1" applyFont="1" applyNumberFormat="1">
      <alignment readingOrder="0" shrinkToFit="0" vertical="center" wrapText="0"/>
    </xf>
    <xf borderId="1" fillId="2" fontId="1" numFmtId="164" xfId="0" applyAlignment="1" applyBorder="1" applyFill="1" applyFont="1" applyNumberFormat="1">
      <alignment shrinkToFit="0" vertical="center" wrapText="0"/>
    </xf>
    <xf borderId="1" fillId="6" fontId="1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7" fontId="1" numFmtId="0" xfId="0" applyAlignment="1" applyBorder="1" applyFill="1" applyFont="1">
      <alignment readingOrder="0" shrinkToFit="0" vertical="center" wrapText="0"/>
    </xf>
    <xf borderId="1" fillId="0" fontId="2" numFmtId="169" xfId="0" applyAlignment="1" applyBorder="1" applyFont="1" applyNumberFormat="1">
      <alignment horizontal="center" readingOrder="0" shrinkToFit="0" vertical="center" wrapText="0"/>
    </xf>
    <xf borderId="1" fillId="8" fontId="8" numFmtId="0" xfId="0" applyAlignment="1" applyBorder="1" applyFill="1" applyFont="1">
      <alignment readingOrder="0" shrinkToFit="0" vertical="bottom" wrapText="0"/>
    </xf>
    <xf borderId="1" fillId="0" fontId="2" numFmtId="170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171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3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6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0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8" fontId="8" numFmtId="0" xfId="0" applyAlignment="1" applyFill="1" applyFont="1">
      <alignment readingOrder="0" shrinkToFit="0" vertical="bottom" wrapText="0"/>
    </xf>
    <xf borderId="0" fillId="0" fontId="2" numFmtId="10" xfId="0" applyAlignment="1" applyFont="1" applyNumberFormat="1">
      <alignment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0" xfId="0" applyAlignment="1" applyBorder="1" applyFont="1" applyNumberFormat="1">
      <alignment horizontal="center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2" numFmtId="164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66" xfId="0" applyAlignment="1" applyBorder="1" applyFont="1" applyNumberFormat="1">
      <alignment horizontal="center" shrinkToFit="0" vertical="bottom" wrapText="0"/>
    </xf>
    <xf borderId="1" fillId="0" fontId="9" numFmtId="164" xfId="0" applyAlignment="1" applyBorder="1" applyFont="1" applyNumberFormat="1">
      <alignment horizontal="right" readingOrder="0" shrinkToFit="0" vertical="bottom" wrapText="0"/>
    </xf>
    <xf borderId="1" fillId="0" fontId="4" numFmtId="10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0" numFmtId="164" xfId="0" applyAlignment="1" applyBorder="1" applyFont="1" applyNumberFormat="1">
      <alignment readingOrder="0" shrinkToFit="0" vertical="bottom" wrapText="0"/>
    </xf>
    <xf borderId="1" fillId="0" fontId="10" numFmtId="164" xfId="0" applyAlignment="1" applyBorder="1" applyFont="1" applyNumberFormat="1">
      <alignment shrinkToFit="0" vertical="bottom" wrapText="0"/>
    </xf>
    <xf borderId="0" fillId="0" fontId="10" numFmtId="0" xfId="0" applyAlignment="1" applyFont="1">
      <alignment vertical="bottom"/>
    </xf>
    <xf borderId="1" fillId="0" fontId="4" numFmtId="0" xfId="0" applyBorder="1" applyFont="1"/>
    <xf borderId="1" fillId="0" fontId="4" numFmtId="164" xfId="0" applyBorder="1" applyFont="1" applyNumberFormat="1"/>
    <xf borderId="1" fillId="0" fontId="4" numFmtId="10" xfId="0" applyBorder="1" applyFont="1" applyNumberFormat="1"/>
    <xf borderId="0" fillId="0" fontId="3" numFmtId="164" xfId="0" applyFont="1" applyNumberFormat="1"/>
    <xf borderId="0" fillId="0" fontId="3" numFmtId="10" xfId="0" applyFont="1" applyNumberFormat="1"/>
    <xf borderId="0" fillId="0" fontId="2" numFmtId="0" xfId="0" applyAlignment="1" applyFont="1">
      <alignment horizontal="center" shrinkToFit="0" vertical="bottom" wrapText="0"/>
    </xf>
    <xf borderId="0" fillId="0" fontId="2" numFmtId="166" xfId="0" applyAlignment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10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2" numFmtId="10" xfId="0" applyAlignment="1" applyFont="1" applyNumberFormat="1">
      <alignment shrinkToFit="0" vertical="bottom" wrapText="0"/>
    </xf>
    <xf borderId="1" fillId="0" fontId="10" numFmtId="10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164" xfId="0" applyAlignment="1" applyBorder="1" applyFont="1" applyNumberFormat="1">
      <alignment readingOrder="0" shrinkToFit="0" vertical="bottom" wrapText="0"/>
    </xf>
    <xf borderId="1" fillId="0" fontId="1" numFmtId="10" xfId="0" applyAlignment="1" applyBorder="1" applyFont="1" applyNumberFormat="1">
      <alignment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shrinkToFit="0" vertical="bottom" wrapText="0"/>
    </xf>
    <xf borderId="1" fillId="2" fontId="11" numFmtId="164" xfId="0" applyAlignment="1" applyBorder="1" applyFill="1" applyFont="1" applyNumberFormat="1">
      <alignment horizontal="right" shrinkToFit="0" vertical="center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10" xfId="0" applyAlignment="1" applyBorder="1" applyFill="1" applyFont="1" applyNumberFormat="1">
      <alignment shrinkToFit="0" vertical="bottom" wrapText="0"/>
    </xf>
    <xf borderId="1" fillId="9" fontId="1" numFmtId="0" xfId="0" applyAlignment="1" applyBorder="1" applyFill="1" applyFont="1">
      <alignment readingOrder="0" shrinkToFit="0" vertical="bottom" wrapText="0"/>
    </xf>
    <xf borderId="1" fillId="9" fontId="1" numFmtId="164" xfId="0" applyAlignment="1" applyBorder="1" applyFill="1" applyFont="1" applyNumberFormat="1">
      <alignment readingOrder="0" shrinkToFit="0" vertical="bottom" wrapText="0"/>
    </xf>
    <xf borderId="1" fillId="9" fontId="1" numFmtId="164" xfId="0" applyAlignment="1" applyBorder="1" applyFill="1" applyFont="1" applyNumberFormat="1">
      <alignment shrinkToFit="0" vertical="bottom" wrapText="0"/>
    </xf>
    <xf borderId="1" fillId="9" fontId="11" numFmtId="164" xfId="0" applyAlignment="1" applyBorder="1" applyFill="1" applyFont="1" applyNumberFormat="1">
      <alignment horizontal="right" shrinkToFit="0" vertical="center" wrapText="0"/>
    </xf>
    <xf borderId="1" fillId="9" fontId="1" numFmtId="0" xfId="0" applyAlignment="1" applyBorder="1" applyFill="1" applyFont="1">
      <alignment shrinkToFit="0" vertical="bottom" wrapText="0"/>
    </xf>
    <xf borderId="1" fillId="9" fontId="1" numFmtId="0" xfId="0" applyAlignment="1" applyBorder="1" applyFill="1" applyFont="1">
      <alignment shrinkToFit="0" vertical="bottom" wrapText="0"/>
    </xf>
    <xf borderId="1" fillId="9" fontId="1" numFmtId="10" xfId="0" applyAlignment="1" applyBorder="1" applyFill="1" applyFont="1" applyNumberFormat="1">
      <alignment shrinkToFit="0" vertical="bottom" wrapText="0"/>
    </xf>
    <xf borderId="1" fillId="9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164" xfId="0" applyAlignment="1" applyBorder="1" applyFill="1" applyFont="1" applyNumberForma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2" numFmtId="164" xfId="0" applyAlignment="1" applyFont="1" applyNumberFormat="1">
      <alignment vertical="bottom"/>
    </xf>
    <xf borderId="0" fillId="0" fontId="10" numFmtId="164" xfId="0" applyAlignment="1" applyFont="1" applyNumberFormat="1">
      <alignment vertical="bottom"/>
    </xf>
    <xf borderId="0" fillId="7" fontId="1" numFmtId="0" xfId="0" applyFill="1" applyFont="1"/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Mirza Bar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nita Bar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ni P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rza P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87" displayName="Bonita" name="Bonita" id="2">
  <autoFilter ref="$A$1:$J$387"/>
  <tableColumns count="10">
    <tableColumn name="ID Ruko" id="1"/>
    <tableColumn name="Tanggal Penerimaan UPC" id="2"/>
    <tableColumn name="Harga Awal" id="3"/>
    <tableColumn name="Harga Nego" id="4"/>
    <tableColumn name="Harga Deal" id="5"/>
    <tableColumn name="Efisiensi" id="6"/>
    <tableColumn name="Keterangan" id="7"/>
    <tableColumn name="Negosiator" id="8"/>
    <tableColumn name="Persentase Efisiensi" id="9"/>
    <tableColumn name="Keterangan 2" id="10"/>
  </tableColumns>
  <tableStyleInfo name="Bonita Baru-style" showColumnStripes="0" showFirstColumn="1" showLastColumn="1" showRowStripes="1"/>
</table>
</file>

<file path=xl/tables/table2.xml><?xml version="1.0" encoding="utf-8"?>
<table xmlns="http://schemas.openxmlformats.org/spreadsheetml/2006/main" ref="A1:J318" displayName="Mirza" name="Mirza" id="1">
  <autoFilter ref="$A$1:$J$318"/>
  <tableColumns count="10">
    <tableColumn name="Column 1" id="1"/>
    <tableColumn name="Tanggal Penerimaan UPC" id="2"/>
    <tableColumn name="Harga Awal" id="3"/>
    <tableColumn name="Harga Nego" id="4"/>
    <tableColumn name="Harga Deal" id="5"/>
    <tableColumn name="Efisiensi" id="6"/>
    <tableColumn name="Keterangan" id="7"/>
    <tableColumn name="Negosiator" id="8"/>
    <tableColumn name="Persentase Efisiensi" id="9"/>
    <tableColumn name="Keterangan 2" id="10"/>
  </tableColumns>
  <tableStyleInfo name="Mirza Baru-style" showColumnStripes="0" showFirstColumn="1" showLastColumn="1" showRowStripes="1"/>
</table>
</file>

<file path=xl/tables/table3.xml><?xml version="1.0" encoding="utf-8"?>
<table xmlns="http://schemas.openxmlformats.org/spreadsheetml/2006/main" ref="A1:K938" displayName="Table1" name="Table1" id="3">
  <autoFilter ref="$A$1:$K$938"/>
  <tableColumns count="11">
    <tableColumn name="ID Ruko" id="1"/>
    <tableColumn name="Tanggal Penerimaan UPC" id="2"/>
    <tableColumn name="Tanggal ACC" id="3"/>
    <tableColumn name="Harga awal Sewa" id="4"/>
    <tableColumn name="Harga Naik pemilik" id="5"/>
    <tableColumn name="Harga Deal" id="6"/>
    <tableColumn name="Total Harga Naik" id="7"/>
    <tableColumn name="Keterangan" id="8"/>
    <tableColumn name="Persentase Naik" id="9"/>
    <tableColumn name="Negosiator" id="10"/>
    <tableColumn name="Keterangan 2" id="11"/>
  </tableColumns>
  <tableStyleInfo name="Boni Pp-style" showColumnStripes="0" showFirstColumn="1" showLastColumn="1" showRowStripes="1"/>
</table>
</file>

<file path=xl/tables/table4.xml><?xml version="1.0" encoding="utf-8"?>
<table xmlns="http://schemas.openxmlformats.org/spreadsheetml/2006/main" ref="A1:K1000" displayName="Mirza_PP" name="Mirza_PP" id="4">
  <autoFilter ref="$A$1:$K$1000"/>
  <tableColumns count="11">
    <tableColumn name="ID Ruko" id="1"/>
    <tableColumn name="Tanggal Penerimaan UPC" id="2"/>
    <tableColumn name="Tanggal ACC" id="3"/>
    <tableColumn name="Harga Awal Sewa" id="4"/>
    <tableColumn name="Harga Naik Pemilik" id="5"/>
    <tableColumn name="Harga Deal" id="6"/>
    <tableColumn name="Total Harga Naik" id="7"/>
    <tableColumn name="Keterangan" id="8"/>
    <tableColumn name="Persentase Naik" id="9"/>
    <tableColumn name="Negosiator" id="10"/>
    <tableColumn name="Keterangan 2" id="11"/>
  </tableColumns>
  <tableStyleInfo name="Mirza P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0"/>
    <col customWidth="1" min="3" max="3" width="17.13"/>
    <col customWidth="1" min="4" max="4" width="17.38"/>
    <col customWidth="1" min="5" max="5" width="16.88"/>
    <col customWidth="1" min="6" max="6" width="14.75"/>
    <col customWidth="1" min="7" max="7" width="17.25"/>
    <col customWidth="1" min="8" max="8" width="13.63"/>
    <col customWidth="1" min="9" max="9" width="15.13"/>
    <col customWidth="1" min="10" max="10" width="94.38"/>
  </cols>
  <sheetData>
    <row r="1" ht="22.5" customHeight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1" t="s">
        <v>6</v>
      </c>
      <c r="G1" s="1" t="s">
        <v>7</v>
      </c>
      <c r="H1" s="1" t="s">
        <v>8</v>
      </c>
      <c r="I1" s="7" t="s">
        <v>9</v>
      </c>
      <c r="J1" s="9" t="s">
        <v>10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12" t="s">
        <v>12</v>
      </c>
      <c r="B2" s="16">
        <v>46143.0</v>
      </c>
      <c r="C2" s="17">
        <v>1.0E8</v>
      </c>
      <c r="D2" s="17">
        <v>6.0E7</v>
      </c>
      <c r="E2" s="17">
        <v>6.5E7</v>
      </c>
      <c r="F2" s="17">
        <f t="shared" ref="F2:F82" si="1">C2-E2</f>
        <v>35000000</v>
      </c>
      <c r="G2" s="23" t="s">
        <v>15</v>
      </c>
      <c r="H2" s="25" t="s">
        <v>19</v>
      </c>
      <c r="I2" s="29">
        <f t="shared" ref="I2:I303" si="2">IFERROR(F2/C2,0)</f>
        <v>0.35</v>
      </c>
      <c r="J2" s="3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22.5" customHeight="1">
      <c r="A3" s="12" t="s">
        <v>25</v>
      </c>
      <c r="B3" s="16">
        <v>46235.0</v>
      </c>
      <c r="C3" s="17">
        <v>4.5E7</v>
      </c>
      <c r="D3" s="17">
        <v>3.7E7</v>
      </c>
      <c r="E3" s="17">
        <v>3.8E7</v>
      </c>
      <c r="F3" s="17">
        <f t="shared" si="1"/>
        <v>7000000</v>
      </c>
      <c r="G3" s="23" t="s">
        <v>15</v>
      </c>
      <c r="H3" s="25" t="s">
        <v>19</v>
      </c>
      <c r="I3" s="29">
        <f t="shared" si="2"/>
        <v>0.1555555556</v>
      </c>
      <c r="J3" s="30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2.5" customHeight="1">
      <c r="A4" s="12" t="s">
        <v>30</v>
      </c>
      <c r="B4" s="16">
        <v>46235.0</v>
      </c>
      <c r="C4" s="17">
        <v>7.0E7</v>
      </c>
      <c r="D4" s="17">
        <v>5.3E7</v>
      </c>
      <c r="E4" s="17">
        <v>6.0E7</v>
      </c>
      <c r="F4" s="17">
        <f t="shared" si="1"/>
        <v>10000000</v>
      </c>
      <c r="G4" s="23" t="s">
        <v>15</v>
      </c>
      <c r="H4" s="25" t="s">
        <v>19</v>
      </c>
      <c r="I4" s="29">
        <f t="shared" si="2"/>
        <v>0.1428571429</v>
      </c>
      <c r="J4" s="30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2.5" customHeight="1">
      <c r="A5" s="12" t="s">
        <v>33</v>
      </c>
      <c r="B5" s="16">
        <v>46235.0</v>
      </c>
      <c r="C5" s="17">
        <v>5.0E7</v>
      </c>
      <c r="D5" s="17">
        <v>3.9E7</v>
      </c>
      <c r="E5" s="17">
        <v>3.9E7</v>
      </c>
      <c r="F5" s="17">
        <f t="shared" si="1"/>
        <v>11000000</v>
      </c>
      <c r="G5" s="23" t="s">
        <v>15</v>
      </c>
      <c r="H5" s="25" t="s">
        <v>19</v>
      </c>
      <c r="I5" s="29">
        <f t="shared" si="2"/>
        <v>0.22</v>
      </c>
      <c r="J5" s="30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2.5" customHeight="1">
      <c r="A6" s="12" t="s">
        <v>37</v>
      </c>
      <c r="B6" s="16">
        <v>46235.0</v>
      </c>
      <c r="C6" s="17">
        <v>3.0E7</v>
      </c>
      <c r="D6" s="17">
        <v>2.3E7</v>
      </c>
      <c r="E6" s="17">
        <v>2.5E7</v>
      </c>
      <c r="F6" s="17">
        <f t="shared" si="1"/>
        <v>5000000</v>
      </c>
      <c r="G6" s="23" t="s">
        <v>38</v>
      </c>
      <c r="H6" s="25" t="s">
        <v>19</v>
      </c>
      <c r="I6" s="29">
        <f t="shared" si="2"/>
        <v>0.1666666667</v>
      </c>
      <c r="J6" s="30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2.5" customHeight="1">
      <c r="A7" s="12" t="s">
        <v>40</v>
      </c>
      <c r="B7" s="16">
        <v>46235.0</v>
      </c>
      <c r="C7" s="17">
        <v>1.1E7</v>
      </c>
      <c r="D7" s="17">
        <v>7000000.0</v>
      </c>
      <c r="E7" s="17">
        <v>8000000.0</v>
      </c>
      <c r="F7" s="17">
        <f t="shared" si="1"/>
        <v>3000000</v>
      </c>
      <c r="G7" s="23" t="s">
        <v>15</v>
      </c>
      <c r="H7" s="25" t="s">
        <v>19</v>
      </c>
      <c r="I7" s="29">
        <f t="shared" si="2"/>
        <v>0.2727272727</v>
      </c>
      <c r="J7" s="3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2.5" customHeight="1">
      <c r="A8" s="12" t="s">
        <v>43</v>
      </c>
      <c r="B8" s="16">
        <v>46235.0</v>
      </c>
      <c r="C8" s="17">
        <v>5.5E7</v>
      </c>
      <c r="D8" s="17">
        <v>4.4E7</v>
      </c>
      <c r="E8" s="17">
        <v>4.5E7</v>
      </c>
      <c r="F8" s="17">
        <f t="shared" si="1"/>
        <v>10000000</v>
      </c>
      <c r="G8" s="23" t="s">
        <v>15</v>
      </c>
      <c r="H8" s="25" t="s">
        <v>19</v>
      </c>
      <c r="I8" s="29">
        <f t="shared" si="2"/>
        <v>0.1818181818</v>
      </c>
      <c r="J8" s="30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2.5" customHeight="1">
      <c r="A9" s="12" t="s">
        <v>47</v>
      </c>
      <c r="B9" s="16">
        <v>46235.0</v>
      </c>
      <c r="C9" s="17">
        <v>2.0E7</v>
      </c>
      <c r="D9" s="17">
        <v>1.4E7</v>
      </c>
      <c r="E9" s="17">
        <v>1.5E7</v>
      </c>
      <c r="F9" s="17">
        <f t="shared" si="1"/>
        <v>5000000</v>
      </c>
      <c r="G9" s="23" t="s">
        <v>15</v>
      </c>
      <c r="H9" s="25" t="s">
        <v>19</v>
      </c>
      <c r="I9" s="29">
        <f t="shared" si="2"/>
        <v>0.25</v>
      </c>
      <c r="J9" s="30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2.5" customHeight="1">
      <c r="A10" s="12" t="s">
        <v>51</v>
      </c>
      <c r="B10" s="16">
        <v>46235.0</v>
      </c>
      <c r="C10" s="17">
        <v>3.0E7</v>
      </c>
      <c r="D10" s="17">
        <v>2.3E7</v>
      </c>
      <c r="E10" s="17">
        <v>2.4E7</v>
      </c>
      <c r="F10" s="17">
        <f t="shared" si="1"/>
        <v>6000000</v>
      </c>
      <c r="G10" s="23" t="s">
        <v>15</v>
      </c>
      <c r="H10" s="25" t="s">
        <v>19</v>
      </c>
      <c r="I10" s="29">
        <f t="shared" si="2"/>
        <v>0.2</v>
      </c>
      <c r="J10" s="30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2.5" customHeight="1">
      <c r="A11" s="12" t="s">
        <v>56</v>
      </c>
      <c r="B11" s="16">
        <v>46235.0</v>
      </c>
      <c r="C11" s="61"/>
      <c r="D11" s="61"/>
      <c r="E11" s="61"/>
      <c r="F11" s="17">
        <f t="shared" si="1"/>
        <v>0</v>
      </c>
      <c r="G11" s="23" t="s">
        <v>24</v>
      </c>
      <c r="H11" s="25" t="s">
        <v>19</v>
      </c>
      <c r="I11" s="29">
        <f t="shared" si="2"/>
        <v>0</v>
      </c>
      <c r="J11" s="63" t="s">
        <v>60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2.5" customHeight="1">
      <c r="A12" s="12" t="s">
        <v>63</v>
      </c>
      <c r="B12" s="66" t="s">
        <v>64</v>
      </c>
      <c r="C12" s="17">
        <v>1.75E8</v>
      </c>
      <c r="D12" s="17">
        <v>1.24E8</v>
      </c>
      <c r="E12" s="17">
        <v>1.65E8</v>
      </c>
      <c r="F12" s="17">
        <f t="shared" si="1"/>
        <v>10000000</v>
      </c>
      <c r="G12" s="23" t="s">
        <v>38</v>
      </c>
      <c r="H12" s="25" t="s">
        <v>19</v>
      </c>
      <c r="I12" s="29">
        <f t="shared" si="2"/>
        <v>0.05714285714</v>
      </c>
      <c r="J12" s="30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2.5" customHeight="1">
      <c r="A13" s="12" t="s">
        <v>67</v>
      </c>
      <c r="B13" s="66" t="s">
        <v>64</v>
      </c>
      <c r="C13" s="17">
        <v>2.2E7</v>
      </c>
      <c r="D13" s="17">
        <v>1.8E7</v>
      </c>
      <c r="E13" s="17">
        <v>1.8E7</v>
      </c>
      <c r="F13" s="17">
        <f t="shared" si="1"/>
        <v>4000000</v>
      </c>
      <c r="G13" s="23" t="s">
        <v>15</v>
      </c>
      <c r="H13" s="25" t="s">
        <v>19</v>
      </c>
      <c r="I13" s="29">
        <f t="shared" si="2"/>
        <v>0.1818181818</v>
      </c>
      <c r="J13" s="30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2.5" customHeight="1">
      <c r="A14" s="12" t="s">
        <v>70</v>
      </c>
      <c r="B14" s="66" t="s">
        <v>64</v>
      </c>
      <c r="C14" s="17">
        <v>2.25E7</v>
      </c>
      <c r="D14" s="17">
        <v>1.5E7</v>
      </c>
      <c r="E14" s="17">
        <v>2.05E7</v>
      </c>
      <c r="F14" s="17">
        <f t="shared" si="1"/>
        <v>2000000</v>
      </c>
      <c r="G14" s="23" t="s">
        <v>24</v>
      </c>
      <c r="H14" s="25" t="s">
        <v>19</v>
      </c>
      <c r="I14" s="29">
        <f t="shared" si="2"/>
        <v>0.08888888889</v>
      </c>
      <c r="J14" s="63" t="s">
        <v>60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2.5" customHeight="1">
      <c r="A15" s="12" t="s">
        <v>74</v>
      </c>
      <c r="B15" s="66" t="s">
        <v>64</v>
      </c>
      <c r="C15" s="17">
        <v>6.5E7</v>
      </c>
      <c r="D15" s="17">
        <v>4.9E7</v>
      </c>
      <c r="E15" s="17">
        <v>5.0E7</v>
      </c>
      <c r="F15" s="17">
        <f t="shared" si="1"/>
        <v>15000000</v>
      </c>
      <c r="G15" s="23" t="s">
        <v>15</v>
      </c>
      <c r="H15" s="25" t="s">
        <v>19</v>
      </c>
      <c r="I15" s="29">
        <f t="shared" si="2"/>
        <v>0.2307692308</v>
      </c>
      <c r="J15" s="30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2.5" customHeight="1">
      <c r="A16" s="12" t="s">
        <v>77</v>
      </c>
      <c r="B16" s="66" t="s">
        <v>64</v>
      </c>
      <c r="C16" s="17">
        <v>4.0E7</v>
      </c>
      <c r="D16" s="17">
        <v>2.9E7</v>
      </c>
      <c r="E16" s="17">
        <v>3.0E7</v>
      </c>
      <c r="F16" s="17">
        <f t="shared" si="1"/>
        <v>10000000</v>
      </c>
      <c r="G16" s="23" t="s">
        <v>15</v>
      </c>
      <c r="H16" s="25" t="s">
        <v>19</v>
      </c>
      <c r="I16" s="29">
        <f t="shared" si="2"/>
        <v>0.25</v>
      </c>
      <c r="J16" s="30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2.5" customHeight="1">
      <c r="A17" s="12" t="s">
        <v>81</v>
      </c>
      <c r="B17" s="66" t="s">
        <v>64</v>
      </c>
      <c r="C17" s="17">
        <v>2.5E7</v>
      </c>
      <c r="D17" s="17">
        <v>1.7E7</v>
      </c>
      <c r="E17" s="17">
        <v>2.0E7</v>
      </c>
      <c r="F17" s="17">
        <f t="shared" si="1"/>
        <v>5000000</v>
      </c>
      <c r="G17" s="23" t="s">
        <v>15</v>
      </c>
      <c r="H17" s="25" t="s">
        <v>19</v>
      </c>
      <c r="I17" s="29">
        <f t="shared" si="2"/>
        <v>0.2</v>
      </c>
      <c r="J17" s="30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2.5" customHeight="1">
      <c r="A18" s="12" t="s">
        <v>85</v>
      </c>
      <c r="B18" s="66" t="s">
        <v>86</v>
      </c>
      <c r="C18" s="17">
        <v>2.5E7</v>
      </c>
      <c r="D18" s="17">
        <v>1.9E7</v>
      </c>
      <c r="E18" s="17">
        <v>2.0E7</v>
      </c>
      <c r="F18" s="17">
        <f t="shared" si="1"/>
        <v>5000000</v>
      </c>
      <c r="G18" s="23" t="s">
        <v>15</v>
      </c>
      <c r="H18" s="25" t="s">
        <v>19</v>
      </c>
      <c r="I18" s="29">
        <f t="shared" si="2"/>
        <v>0.2</v>
      </c>
      <c r="J18" s="30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2.5" customHeight="1">
      <c r="A19" s="12" t="s">
        <v>91</v>
      </c>
      <c r="B19" s="66" t="s">
        <v>86</v>
      </c>
      <c r="C19" s="17">
        <v>2.6E7</v>
      </c>
      <c r="D19" s="17">
        <v>1.9E7</v>
      </c>
      <c r="E19" s="17">
        <v>2.0E7</v>
      </c>
      <c r="F19" s="17">
        <f t="shared" si="1"/>
        <v>6000000</v>
      </c>
      <c r="G19" s="23" t="s">
        <v>15</v>
      </c>
      <c r="H19" s="25" t="s">
        <v>19</v>
      </c>
      <c r="I19" s="29">
        <f t="shared" si="2"/>
        <v>0.2307692308</v>
      </c>
      <c r="J19" s="30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2.5" customHeight="1">
      <c r="A20" s="12" t="s">
        <v>97</v>
      </c>
      <c r="B20" s="66" t="s">
        <v>86</v>
      </c>
      <c r="C20" s="17">
        <v>3.5E7</v>
      </c>
      <c r="D20" s="17">
        <v>2.7E7</v>
      </c>
      <c r="E20" s="17">
        <v>2.8E7</v>
      </c>
      <c r="F20" s="17">
        <f t="shared" si="1"/>
        <v>7000000</v>
      </c>
      <c r="G20" s="23" t="s">
        <v>15</v>
      </c>
      <c r="H20" s="25" t="s">
        <v>19</v>
      </c>
      <c r="I20" s="29">
        <f t="shared" si="2"/>
        <v>0.2</v>
      </c>
      <c r="J20" s="30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2.5" customHeight="1">
      <c r="A21" s="12" t="s">
        <v>104</v>
      </c>
      <c r="B21" s="66" t="s">
        <v>86</v>
      </c>
      <c r="C21" s="17">
        <v>5.0E7</v>
      </c>
      <c r="D21" s="17">
        <v>3.9E7</v>
      </c>
      <c r="E21" s="17">
        <v>4.0E7</v>
      </c>
      <c r="F21" s="17">
        <f t="shared" si="1"/>
        <v>10000000</v>
      </c>
      <c r="G21" s="23" t="s">
        <v>15</v>
      </c>
      <c r="H21" s="25" t="s">
        <v>19</v>
      </c>
      <c r="I21" s="29">
        <f t="shared" si="2"/>
        <v>0.2</v>
      </c>
      <c r="J21" s="30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2.5" customHeight="1">
      <c r="A22" s="12" t="s">
        <v>110</v>
      </c>
      <c r="B22" s="66" t="s">
        <v>86</v>
      </c>
      <c r="C22" s="17">
        <v>8.0E7</v>
      </c>
      <c r="D22" s="17">
        <v>5.4E7</v>
      </c>
      <c r="E22" s="17">
        <v>6.5E7</v>
      </c>
      <c r="F22" s="17">
        <f t="shared" si="1"/>
        <v>15000000</v>
      </c>
      <c r="G22" s="23" t="s">
        <v>15</v>
      </c>
      <c r="H22" s="25" t="s">
        <v>19</v>
      </c>
      <c r="I22" s="29">
        <f t="shared" si="2"/>
        <v>0.1875</v>
      </c>
      <c r="J22" s="30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2.5" customHeight="1">
      <c r="A23" s="12" t="s">
        <v>114</v>
      </c>
      <c r="B23" s="66" t="s">
        <v>86</v>
      </c>
      <c r="C23" s="17">
        <v>3.35E7</v>
      </c>
      <c r="D23" s="17">
        <v>2.6E7</v>
      </c>
      <c r="E23" s="17">
        <v>3.0E7</v>
      </c>
      <c r="F23" s="17">
        <f t="shared" si="1"/>
        <v>3500000</v>
      </c>
      <c r="G23" s="23" t="s">
        <v>15</v>
      </c>
      <c r="H23" s="25" t="s">
        <v>19</v>
      </c>
      <c r="I23" s="29">
        <f t="shared" si="2"/>
        <v>0.1044776119</v>
      </c>
      <c r="J23" s="30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2.5" customHeight="1">
      <c r="A24" s="12" t="s">
        <v>120</v>
      </c>
      <c r="B24" s="66" t="s">
        <v>86</v>
      </c>
      <c r="C24" s="61"/>
      <c r="D24" s="61"/>
      <c r="E24" s="61"/>
      <c r="F24" s="17">
        <f t="shared" si="1"/>
        <v>0</v>
      </c>
      <c r="G24" s="23" t="s">
        <v>24</v>
      </c>
      <c r="H24" s="25" t="s">
        <v>19</v>
      </c>
      <c r="I24" s="29">
        <f t="shared" si="2"/>
        <v>0</v>
      </c>
      <c r="J24" s="63" t="s">
        <v>60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2.5" customHeight="1">
      <c r="A25" s="12" t="s">
        <v>123</v>
      </c>
      <c r="B25" s="66" t="s">
        <v>86</v>
      </c>
      <c r="C25" s="61"/>
      <c r="D25" s="61"/>
      <c r="E25" s="61"/>
      <c r="F25" s="17">
        <f t="shared" si="1"/>
        <v>0</v>
      </c>
      <c r="G25" s="23" t="s">
        <v>24</v>
      </c>
      <c r="H25" s="25" t="s">
        <v>19</v>
      </c>
      <c r="I25" s="29">
        <f t="shared" si="2"/>
        <v>0</v>
      </c>
      <c r="J25" s="63" t="s">
        <v>60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2.5" customHeight="1">
      <c r="A26" s="12" t="s">
        <v>128</v>
      </c>
      <c r="B26" s="66" t="s">
        <v>86</v>
      </c>
      <c r="C26" s="17">
        <v>2.8E7</v>
      </c>
      <c r="D26" s="17">
        <v>1.9E7</v>
      </c>
      <c r="E26" s="17">
        <v>2.5E7</v>
      </c>
      <c r="F26" s="17">
        <f t="shared" si="1"/>
        <v>3000000</v>
      </c>
      <c r="G26" s="23" t="s">
        <v>38</v>
      </c>
      <c r="H26" s="25" t="s">
        <v>19</v>
      </c>
      <c r="I26" s="29">
        <f t="shared" si="2"/>
        <v>0.1071428571</v>
      </c>
      <c r="J26" s="30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2.5" customHeight="1">
      <c r="A27" s="12" t="s">
        <v>130</v>
      </c>
      <c r="B27" s="66" t="s">
        <v>131</v>
      </c>
      <c r="C27" s="17">
        <v>5.0E7</v>
      </c>
      <c r="D27" s="17">
        <v>3.9E7</v>
      </c>
      <c r="E27" s="17">
        <v>4.3E7</v>
      </c>
      <c r="F27" s="17">
        <f t="shared" si="1"/>
        <v>7000000</v>
      </c>
      <c r="G27" s="23" t="s">
        <v>15</v>
      </c>
      <c r="H27" s="25" t="s">
        <v>19</v>
      </c>
      <c r="I27" s="29">
        <f t="shared" si="2"/>
        <v>0.14</v>
      </c>
      <c r="J27" s="30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2.5" customHeight="1">
      <c r="A28" s="12" t="s">
        <v>135</v>
      </c>
      <c r="B28" s="66" t="s">
        <v>131</v>
      </c>
      <c r="C28" s="17">
        <v>5.0E7</v>
      </c>
      <c r="D28" s="17">
        <v>3.9E7</v>
      </c>
      <c r="E28" s="17">
        <v>4.0E7</v>
      </c>
      <c r="F28" s="17">
        <f t="shared" si="1"/>
        <v>10000000</v>
      </c>
      <c r="G28" s="23" t="s">
        <v>15</v>
      </c>
      <c r="H28" s="25" t="s">
        <v>19</v>
      </c>
      <c r="I28" s="29">
        <f t="shared" si="2"/>
        <v>0.2</v>
      </c>
      <c r="J28" s="30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2.5" customHeight="1">
      <c r="A29" s="12" t="s">
        <v>139</v>
      </c>
      <c r="B29" s="66" t="s">
        <v>131</v>
      </c>
      <c r="C29" s="17">
        <v>2.5E7</v>
      </c>
      <c r="D29" s="17">
        <v>1.7E7</v>
      </c>
      <c r="E29" s="17">
        <v>2.0E7</v>
      </c>
      <c r="F29" s="17">
        <f t="shared" si="1"/>
        <v>5000000</v>
      </c>
      <c r="G29" s="23" t="s">
        <v>38</v>
      </c>
      <c r="H29" s="25" t="s">
        <v>19</v>
      </c>
      <c r="I29" s="29">
        <f t="shared" si="2"/>
        <v>0.2</v>
      </c>
      <c r="J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2.5" customHeight="1">
      <c r="A30" s="12" t="s">
        <v>142</v>
      </c>
      <c r="B30" s="66" t="s">
        <v>131</v>
      </c>
      <c r="C30" s="17">
        <v>6.5E7</v>
      </c>
      <c r="D30" s="17">
        <v>3.9E7</v>
      </c>
      <c r="E30" s="17">
        <v>4.0E7</v>
      </c>
      <c r="F30" s="17">
        <f t="shared" si="1"/>
        <v>25000000</v>
      </c>
      <c r="G30" s="23" t="s">
        <v>15</v>
      </c>
      <c r="H30" s="25" t="s">
        <v>19</v>
      </c>
      <c r="I30" s="29">
        <f t="shared" si="2"/>
        <v>0.3846153846</v>
      </c>
      <c r="J30" s="30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2.5" customHeight="1">
      <c r="A31" s="12" t="s">
        <v>151</v>
      </c>
      <c r="B31" s="66" t="s">
        <v>131</v>
      </c>
      <c r="C31" s="17">
        <v>2.5E7</v>
      </c>
      <c r="D31" s="17">
        <v>1.7E7</v>
      </c>
      <c r="E31" s="17">
        <v>2.0E7</v>
      </c>
      <c r="F31" s="17">
        <f t="shared" si="1"/>
        <v>5000000</v>
      </c>
      <c r="G31" s="23" t="s">
        <v>15</v>
      </c>
      <c r="H31" s="25" t="s">
        <v>19</v>
      </c>
      <c r="I31" s="29">
        <f t="shared" si="2"/>
        <v>0.2</v>
      </c>
      <c r="J31" s="30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2.5" customHeight="1">
      <c r="A32" s="12" t="s">
        <v>155</v>
      </c>
      <c r="B32" s="16">
        <v>46083.0</v>
      </c>
      <c r="C32" s="17">
        <v>2.0E7</v>
      </c>
      <c r="D32" s="17">
        <v>1.3E7</v>
      </c>
      <c r="E32" s="17">
        <v>1.4E7</v>
      </c>
      <c r="F32" s="17">
        <f t="shared" si="1"/>
        <v>6000000</v>
      </c>
      <c r="G32" s="23" t="s">
        <v>15</v>
      </c>
      <c r="H32" s="25" t="s">
        <v>19</v>
      </c>
      <c r="I32" s="29">
        <f t="shared" si="2"/>
        <v>0.3</v>
      </c>
      <c r="J32" s="30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22.5" customHeight="1">
      <c r="A33" s="12" t="s">
        <v>161</v>
      </c>
      <c r="B33" s="16">
        <v>46083.0</v>
      </c>
      <c r="C33" s="17">
        <v>3.0E7</v>
      </c>
      <c r="D33" s="17">
        <v>2.2E7</v>
      </c>
      <c r="E33" s="17">
        <v>2.2E7</v>
      </c>
      <c r="F33" s="17">
        <f t="shared" si="1"/>
        <v>8000000</v>
      </c>
      <c r="G33" s="23" t="s">
        <v>24</v>
      </c>
      <c r="H33" s="25" t="s">
        <v>19</v>
      </c>
      <c r="I33" s="29">
        <f t="shared" si="2"/>
        <v>0.2666666667</v>
      </c>
      <c r="J33" s="63" t="s">
        <v>163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2.5" customHeight="1">
      <c r="A34" s="12" t="s">
        <v>166</v>
      </c>
      <c r="B34" s="16">
        <v>46083.0</v>
      </c>
      <c r="C34" s="17">
        <v>2.8E7</v>
      </c>
      <c r="D34" s="17">
        <v>1.9E7</v>
      </c>
      <c r="E34" s="17">
        <v>2.5E7</v>
      </c>
      <c r="F34" s="17">
        <f t="shared" si="1"/>
        <v>3000000</v>
      </c>
      <c r="G34" s="23" t="s">
        <v>15</v>
      </c>
      <c r="H34" s="25" t="s">
        <v>19</v>
      </c>
      <c r="I34" s="29">
        <f t="shared" si="2"/>
        <v>0.1071428571</v>
      </c>
      <c r="J34" s="30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2.5" customHeight="1">
      <c r="A35" s="12" t="s">
        <v>171</v>
      </c>
      <c r="B35" s="16">
        <v>46083.0</v>
      </c>
      <c r="C35" s="17">
        <v>7.5E7</v>
      </c>
      <c r="D35" s="17">
        <v>4.9E7</v>
      </c>
      <c r="E35" s="17">
        <v>6.5E7</v>
      </c>
      <c r="F35" s="17">
        <f t="shared" si="1"/>
        <v>10000000</v>
      </c>
      <c r="G35" s="23" t="s">
        <v>15</v>
      </c>
      <c r="H35" s="25" t="s">
        <v>19</v>
      </c>
      <c r="I35" s="29">
        <f t="shared" si="2"/>
        <v>0.1333333333</v>
      </c>
      <c r="J35" s="30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2.5" customHeight="1">
      <c r="A36" s="12" t="s">
        <v>175</v>
      </c>
      <c r="B36" s="16">
        <v>46175.0</v>
      </c>
      <c r="C36" s="17">
        <v>1.2E8</v>
      </c>
      <c r="D36" s="17">
        <v>7.8E7</v>
      </c>
      <c r="E36" s="17">
        <v>8.0E7</v>
      </c>
      <c r="F36" s="17">
        <f t="shared" si="1"/>
        <v>40000000</v>
      </c>
      <c r="G36" s="23" t="s">
        <v>15</v>
      </c>
      <c r="H36" s="25" t="s">
        <v>19</v>
      </c>
      <c r="I36" s="29">
        <f t="shared" si="2"/>
        <v>0.3333333333</v>
      </c>
      <c r="J36" s="30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2.5" customHeight="1">
      <c r="A37" s="12" t="s">
        <v>179</v>
      </c>
      <c r="B37" s="16">
        <v>46175.0</v>
      </c>
      <c r="C37" s="17">
        <v>6.0E7</v>
      </c>
      <c r="D37" s="17">
        <v>4.3E7</v>
      </c>
      <c r="E37" s="17">
        <v>4.5E7</v>
      </c>
      <c r="F37" s="17">
        <f t="shared" si="1"/>
        <v>15000000</v>
      </c>
      <c r="G37" s="23" t="s">
        <v>15</v>
      </c>
      <c r="H37" s="25" t="s">
        <v>19</v>
      </c>
      <c r="I37" s="29">
        <f t="shared" si="2"/>
        <v>0.25</v>
      </c>
      <c r="J37" s="30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2.5" customHeight="1">
      <c r="A38" s="12" t="s">
        <v>183</v>
      </c>
      <c r="B38" s="16">
        <v>46175.0</v>
      </c>
      <c r="C38" s="17">
        <v>6.0E7</v>
      </c>
      <c r="D38" s="17">
        <v>4.4E7</v>
      </c>
      <c r="E38" s="17">
        <v>5.8E7</v>
      </c>
      <c r="F38" s="17">
        <f t="shared" si="1"/>
        <v>2000000</v>
      </c>
      <c r="G38" s="23" t="s">
        <v>24</v>
      </c>
      <c r="H38" s="25" t="s">
        <v>19</v>
      </c>
      <c r="I38" s="29">
        <f t="shared" si="2"/>
        <v>0.03333333333</v>
      </c>
      <c r="J38" s="63" t="s">
        <v>185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22.5" customHeight="1">
      <c r="A39" s="12" t="s">
        <v>186</v>
      </c>
      <c r="B39" s="16">
        <v>46175.0</v>
      </c>
      <c r="C39" s="17">
        <v>6.0E7</v>
      </c>
      <c r="D39" s="17">
        <v>4.3E7</v>
      </c>
      <c r="E39" s="17">
        <v>5.5E7</v>
      </c>
      <c r="F39" s="17">
        <f t="shared" si="1"/>
        <v>5000000</v>
      </c>
      <c r="G39" s="23" t="s">
        <v>15</v>
      </c>
      <c r="H39" s="25" t="s">
        <v>19</v>
      </c>
      <c r="I39" s="29">
        <f t="shared" si="2"/>
        <v>0.08333333333</v>
      </c>
      <c r="J39" s="30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22.5" customHeight="1">
      <c r="A40" s="12" t="s">
        <v>189</v>
      </c>
      <c r="B40" s="16">
        <v>46175.0</v>
      </c>
      <c r="C40" s="61"/>
      <c r="D40" s="61"/>
      <c r="E40" s="61"/>
      <c r="F40" s="17">
        <f t="shared" si="1"/>
        <v>0</v>
      </c>
      <c r="G40" s="23" t="s">
        <v>24</v>
      </c>
      <c r="H40" s="25" t="s">
        <v>19</v>
      </c>
      <c r="I40" s="29">
        <f t="shared" si="2"/>
        <v>0</v>
      </c>
      <c r="J40" s="63" t="s">
        <v>60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22.5" customHeight="1">
      <c r="A41" s="12" t="s">
        <v>193</v>
      </c>
      <c r="B41" s="16">
        <v>46175.0</v>
      </c>
      <c r="C41" s="17">
        <v>3.3333333E7</v>
      </c>
      <c r="D41" s="17">
        <v>2.5E7</v>
      </c>
      <c r="E41" s="17">
        <v>3.0E7</v>
      </c>
      <c r="F41" s="17">
        <f t="shared" si="1"/>
        <v>3333333</v>
      </c>
      <c r="G41" s="23" t="s">
        <v>15</v>
      </c>
      <c r="H41" s="25" t="s">
        <v>19</v>
      </c>
      <c r="I41" s="29">
        <f t="shared" si="2"/>
        <v>0.099999991</v>
      </c>
      <c r="J41" s="30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22.5" customHeight="1">
      <c r="A42" s="12" t="s">
        <v>196</v>
      </c>
      <c r="B42" s="16">
        <v>46175.0</v>
      </c>
      <c r="C42" s="17">
        <v>4.0E7</v>
      </c>
      <c r="D42" s="17">
        <v>2.9E7</v>
      </c>
      <c r="E42" s="17">
        <v>4.0E7</v>
      </c>
      <c r="F42" s="17">
        <f t="shared" si="1"/>
        <v>0</v>
      </c>
      <c r="G42" s="23" t="s">
        <v>15</v>
      </c>
      <c r="H42" s="25" t="s">
        <v>19</v>
      </c>
      <c r="I42" s="29">
        <f t="shared" si="2"/>
        <v>0</v>
      </c>
      <c r="J42" s="63" t="s">
        <v>202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22.5" customHeight="1">
      <c r="A43" s="12" t="s">
        <v>203</v>
      </c>
      <c r="B43" s="16">
        <v>46175.0</v>
      </c>
      <c r="C43" s="17">
        <v>4.0E7</v>
      </c>
      <c r="D43" s="17">
        <v>2.8E7</v>
      </c>
      <c r="E43" s="17">
        <v>3.0E7</v>
      </c>
      <c r="F43" s="17">
        <f t="shared" si="1"/>
        <v>10000000</v>
      </c>
      <c r="G43" s="23" t="s">
        <v>15</v>
      </c>
      <c r="H43" s="25" t="s">
        <v>19</v>
      </c>
      <c r="I43" s="29">
        <f t="shared" si="2"/>
        <v>0.25</v>
      </c>
      <c r="J43" s="30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22.5" customHeight="1">
      <c r="A44" s="12" t="s">
        <v>207</v>
      </c>
      <c r="B44" s="16">
        <v>46175.0</v>
      </c>
      <c r="C44" s="17">
        <v>3.24E7</v>
      </c>
      <c r="D44" s="17">
        <v>2.3E7</v>
      </c>
      <c r="E44" s="17">
        <v>2.5E7</v>
      </c>
      <c r="F44" s="17">
        <f t="shared" si="1"/>
        <v>7400000</v>
      </c>
      <c r="G44" s="23" t="s">
        <v>15</v>
      </c>
      <c r="H44" s="25" t="s">
        <v>19</v>
      </c>
      <c r="I44" s="29">
        <f t="shared" si="2"/>
        <v>0.2283950617</v>
      </c>
      <c r="J44" s="30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22.5" customHeight="1">
      <c r="A45" s="12" t="s">
        <v>213</v>
      </c>
      <c r="B45" s="16">
        <v>46175.0</v>
      </c>
      <c r="C45" s="17">
        <v>3.3E7</v>
      </c>
      <c r="D45" s="17">
        <v>2.5E7</v>
      </c>
      <c r="E45" s="17">
        <v>2.9E7</v>
      </c>
      <c r="F45" s="17">
        <f t="shared" si="1"/>
        <v>4000000</v>
      </c>
      <c r="G45" s="23" t="s">
        <v>15</v>
      </c>
      <c r="H45" s="25" t="s">
        <v>19</v>
      </c>
      <c r="I45" s="29">
        <f t="shared" si="2"/>
        <v>0.1212121212</v>
      </c>
      <c r="J45" s="30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22.5" customHeight="1">
      <c r="A46" s="12" t="s">
        <v>217</v>
      </c>
      <c r="B46" s="66" t="s">
        <v>218</v>
      </c>
      <c r="C46" s="17">
        <v>5.0E7</v>
      </c>
      <c r="D46" s="17">
        <v>3.9E7</v>
      </c>
      <c r="E46" s="17">
        <v>4.6E7</v>
      </c>
      <c r="F46" s="17">
        <f t="shared" si="1"/>
        <v>4000000</v>
      </c>
      <c r="G46" s="23" t="s">
        <v>15</v>
      </c>
      <c r="H46" s="25" t="s">
        <v>19</v>
      </c>
      <c r="I46" s="29">
        <f t="shared" si="2"/>
        <v>0.08</v>
      </c>
      <c r="J46" s="30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22.5" customHeight="1">
      <c r="A47" s="12" t="s">
        <v>222</v>
      </c>
      <c r="B47" s="66" t="s">
        <v>218</v>
      </c>
      <c r="C47" s="17">
        <v>5.0E7</v>
      </c>
      <c r="D47" s="17">
        <v>3.8E7</v>
      </c>
      <c r="E47" s="17">
        <v>4.0E7</v>
      </c>
      <c r="F47" s="17">
        <f t="shared" si="1"/>
        <v>10000000</v>
      </c>
      <c r="G47" s="23" t="s">
        <v>15</v>
      </c>
      <c r="H47" s="25" t="s">
        <v>19</v>
      </c>
      <c r="I47" s="29">
        <f t="shared" si="2"/>
        <v>0.2</v>
      </c>
      <c r="J47" s="30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22.5" customHeight="1">
      <c r="A48" s="12" t="s">
        <v>226</v>
      </c>
      <c r="B48" s="66" t="s">
        <v>146</v>
      </c>
      <c r="C48" s="61"/>
      <c r="D48" s="61"/>
      <c r="E48" s="61"/>
      <c r="F48" s="17">
        <f t="shared" si="1"/>
        <v>0</v>
      </c>
      <c r="G48" s="23" t="s">
        <v>24</v>
      </c>
      <c r="H48" s="25" t="s">
        <v>19</v>
      </c>
      <c r="I48" s="29">
        <f t="shared" si="2"/>
        <v>0</v>
      </c>
      <c r="J48" s="63" t="s">
        <v>228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22.5" customHeight="1">
      <c r="A49" s="12" t="s">
        <v>230</v>
      </c>
      <c r="B49" s="66" t="s">
        <v>146</v>
      </c>
      <c r="C49" s="17">
        <v>6.5E7</v>
      </c>
      <c r="D49" s="17">
        <v>4.4E7</v>
      </c>
      <c r="E49" s="17">
        <v>6.2E7</v>
      </c>
      <c r="F49" s="17">
        <f t="shared" si="1"/>
        <v>3000000</v>
      </c>
      <c r="G49" s="23" t="s">
        <v>15</v>
      </c>
      <c r="H49" s="25" t="s">
        <v>19</v>
      </c>
      <c r="I49" s="29">
        <f t="shared" si="2"/>
        <v>0.04615384615</v>
      </c>
      <c r="J49" s="30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22.5" customHeight="1">
      <c r="A50" s="12" t="s">
        <v>236</v>
      </c>
      <c r="B50" s="66" t="s">
        <v>146</v>
      </c>
      <c r="C50" s="17">
        <v>1.5E8</v>
      </c>
      <c r="D50" s="17">
        <v>9.9E7</v>
      </c>
      <c r="E50" s="17">
        <v>1.2E8</v>
      </c>
      <c r="F50" s="17">
        <f t="shared" si="1"/>
        <v>30000000</v>
      </c>
      <c r="G50" s="23" t="s">
        <v>15</v>
      </c>
      <c r="H50" s="25" t="s">
        <v>19</v>
      </c>
      <c r="I50" s="29">
        <f t="shared" si="2"/>
        <v>0.2</v>
      </c>
      <c r="J50" s="30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22.5" customHeight="1">
      <c r="A51" s="12" t="s">
        <v>241</v>
      </c>
      <c r="B51" s="66" t="s">
        <v>146</v>
      </c>
      <c r="C51" s="17">
        <v>6.5E7</v>
      </c>
      <c r="D51" s="17">
        <v>4.4E7</v>
      </c>
      <c r="E51" s="17">
        <v>6.3E7</v>
      </c>
      <c r="F51" s="17">
        <f t="shared" si="1"/>
        <v>2000000</v>
      </c>
      <c r="G51" s="23" t="s">
        <v>38</v>
      </c>
      <c r="H51" s="25" t="s">
        <v>19</v>
      </c>
      <c r="I51" s="29">
        <f t="shared" si="2"/>
        <v>0.03076923077</v>
      </c>
      <c r="J51" s="30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22.5" customHeight="1">
      <c r="A52" s="12" t="s">
        <v>247</v>
      </c>
      <c r="B52" s="66" t="s">
        <v>146</v>
      </c>
      <c r="C52" s="17">
        <v>4.5E7</v>
      </c>
      <c r="D52" s="17">
        <v>3.4E7</v>
      </c>
      <c r="E52" s="17">
        <v>3.9E7</v>
      </c>
      <c r="F52" s="17">
        <f t="shared" si="1"/>
        <v>6000000</v>
      </c>
      <c r="G52" s="23" t="s">
        <v>38</v>
      </c>
      <c r="H52" s="25" t="s">
        <v>19</v>
      </c>
      <c r="I52" s="29">
        <f t="shared" si="2"/>
        <v>0.1333333333</v>
      </c>
      <c r="J52" s="30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22.5" customHeight="1">
      <c r="A53" s="12" t="s">
        <v>252</v>
      </c>
      <c r="B53" s="66" t="s">
        <v>146</v>
      </c>
      <c r="C53" s="17">
        <v>7.5E7</v>
      </c>
      <c r="D53" s="17">
        <v>5.0E7</v>
      </c>
      <c r="E53" s="17">
        <v>6.0E7</v>
      </c>
      <c r="F53" s="17">
        <f t="shared" si="1"/>
        <v>15000000</v>
      </c>
      <c r="G53" s="23" t="s">
        <v>15</v>
      </c>
      <c r="H53" s="25" t="s">
        <v>19</v>
      </c>
      <c r="I53" s="29">
        <f t="shared" si="2"/>
        <v>0.2</v>
      </c>
      <c r="J53" s="30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22.5" customHeight="1">
      <c r="A54" s="12" t="s">
        <v>256</v>
      </c>
      <c r="B54" s="66" t="s">
        <v>146</v>
      </c>
      <c r="C54" s="17">
        <v>6.5E7</v>
      </c>
      <c r="D54" s="17">
        <v>4.9E7</v>
      </c>
      <c r="E54" s="17">
        <v>6.0E7</v>
      </c>
      <c r="F54" s="17">
        <f t="shared" si="1"/>
        <v>5000000</v>
      </c>
      <c r="G54" s="23" t="s">
        <v>15</v>
      </c>
      <c r="H54" s="25" t="s">
        <v>19</v>
      </c>
      <c r="I54" s="29">
        <f t="shared" si="2"/>
        <v>0.07692307692</v>
      </c>
      <c r="J54" s="30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22.5" customHeight="1">
      <c r="A55" s="12" t="s">
        <v>261</v>
      </c>
      <c r="B55" s="66" t="s">
        <v>146</v>
      </c>
      <c r="C55" s="17">
        <v>8.5E7</v>
      </c>
      <c r="D55" s="17">
        <v>6.3E7</v>
      </c>
      <c r="E55" s="17">
        <v>6.4E7</v>
      </c>
      <c r="F55" s="17">
        <f t="shared" si="1"/>
        <v>21000000</v>
      </c>
      <c r="G55" s="23" t="s">
        <v>24</v>
      </c>
      <c r="H55" s="25" t="s">
        <v>19</v>
      </c>
      <c r="I55" s="29">
        <f t="shared" si="2"/>
        <v>0.2470588235</v>
      </c>
      <c r="J55" s="63" t="s">
        <v>263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22.5" customHeight="1">
      <c r="A56" s="12" t="s">
        <v>265</v>
      </c>
      <c r="B56" s="66" t="s">
        <v>146</v>
      </c>
      <c r="C56" s="17">
        <v>5.0E7</v>
      </c>
      <c r="D56" s="17">
        <v>3.7E7</v>
      </c>
      <c r="E56" s="17">
        <v>4.2E7</v>
      </c>
      <c r="F56" s="17">
        <f t="shared" si="1"/>
        <v>8000000</v>
      </c>
      <c r="G56" s="23" t="s">
        <v>24</v>
      </c>
      <c r="H56" s="25" t="s">
        <v>19</v>
      </c>
      <c r="I56" s="29">
        <f t="shared" si="2"/>
        <v>0.16</v>
      </c>
      <c r="J56" s="63" t="s">
        <v>269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22.5" customHeight="1">
      <c r="A57" s="12" t="s">
        <v>272</v>
      </c>
      <c r="B57" s="66" t="s">
        <v>146</v>
      </c>
      <c r="C57" s="17">
        <v>5.5E7</v>
      </c>
      <c r="D57" s="17">
        <v>4.4E7</v>
      </c>
      <c r="E57" s="17">
        <v>5.0E7</v>
      </c>
      <c r="F57" s="17">
        <f t="shared" si="1"/>
        <v>5000000</v>
      </c>
      <c r="G57" s="23" t="s">
        <v>15</v>
      </c>
      <c r="H57" s="25" t="s">
        <v>19</v>
      </c>
      <c r="I57" s="29">
        <f t="shared" si="2"/>
        <v>0.09090909091</v>
      </c>
      <c r="J57" s="30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22.5" customHeight="1">
      <c r="A58" s="12" t="s">
        <v>274</v>
      </c>
      <c r="B58" s="66" t="s">
        <v>146</v>
      </c>
      <c r="C58" s="17">
        <v>4.5E7</v>
      </c>
      <c r="D58" s="17">
        <v>2.9E7</v>
      </c>
      <c r="E58" s="17">
        <v>3.2E7</v>
      </c>
      <c r="F58" s="17">
        <f t="shared" si="1"/>
        <v>13000000</v>
      </c>
      <c r="G58" s="23" t="s">
        <v>15</v>
      </c>
      <c r="H58" s="25" t="s">
        <v>19</v>
      </c>
      <c r="I58" s="29">
        <f t="shared" si="2"/>
        <v>0.2888888889</v>
      </c>
      <c r="J58" s="30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22.5" customHeight="1">
      <c r="A59" s="12" t="s">
        <v>280</v>
      </c>
      <c r="B59" s="66" t="s">
        <v>146</v>
      </c>
      <c r="C59" s="17">
        <v>1.0E8</v>
      </c>
      <c r="D59" s="17">
        <v>6.9E7</v>
      </c>
      <c r="E59" s="17">
        <v>8.5E7</v>
      </c>
      <c r="F59" s="17">
        <f t="shared" si="1"/>
        <v>15000000</v>
      </c>
      <c r="G59" s="23" t="s">
        <v>38</v>
      </c>
      <c r="H59" s="25" t="s">
        <v>19</v>
      </c>
      <c r="I59" s="29">
        <f t="shared" si="2"/>
        <v>0.15</v>
      </c>
      <c r="J59" s="30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22.5" customHeight="1">
      <c r="A60" s="12" t="s">
        <v>284</v>
      </c>
      <c r="B60" s="66" t="s">
        <v>146</v>
      </c>
      <c r="C60" s="17">
        <v>6.0E7</v>
      </c>
      <c r="D60" s="17">
        <v>4.4E7</v>
      </c>
      <c r="E60" s="17">
        <v>4.7E7</v>
      </c>
      <c r="F60" s="17">
        <f t="shared" si="1"/>
        <v>13000000</v>
      </c>
      <c r="G60" s="23" t="s">
        <v>15</v>
      </c>
      <c r="H60" s="25" t="s">
        <v>19</v>
      </c>
      <c r="I60" s="29">
        <f t="shared" si="2"/>
        <v>0.2166666667</v>
      </c>
      <c r="J60" s="30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22.5" customHeight="1">
      <c r="A61" s="12" t="s">
        <v>288</v>
      </c>
      <c r="B61" s="66" t="s">
        <v>146</v>
      </c>
      <c r="C61" s="17">
        <v>1.5E8</v>
      </c>
      <c r="D61" s="17">
        <v>9.9E7</v>
      </c>
      <c r="E61" s="17">
        <v>1.45E8</v>
      </c>
      <c r="F61" s="17">
        <f t="shared" si="1"/>
        <v>5000000</v>
      </c>
      <c r="G61" s="23" t="s">
        <v>24</v>
      </c>
      <c r="H61" s="25" t="s">
        <v>19</v>
      </c>
      <c r="I61" s="29">
        <f t="shared" si="2"/>
        <v>0.03333333333</v>
      </c>
      <c r="J61" s="63" t="s">
        <v>292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22.5" customHeight="1">
      <c r="A62" s="12" t="s">
        <v>295</v>
      </c>
      <c r="B62" s="66" t="s">
        <v>146</v>
      </c>
      <c r="C62" s="17">
        <v>3.5E7</v>
      </c>
      <c r="D62" s="17">
        <v>2.7E7</v>
      </c>
      <c r="E62" s="17">
        <v>2.8E7</v>
      </c>
      <c r="F62" s="17">
        <f t="shared" si="1"/>
        <v>7000000</v>
      </c>
      <c r="G62" s="23" t="s">
        <v>15</v>
      </c>
      <c r="H62" s="25" t="s">
        <v>19</v>
      </c>
      <c r="I62" s="29">
        <f t="shared" si="2"/>
        <v>0.2</v>
      </c>
      <c r="J62" s="30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22.5" customHeight="1">
      <c r="A63" s="12" t="s">
        <v>300</v>
      </c>
      <c r="B63" s="66" t="s">
        <v>146</v>
      </c>
      <c r="C63" s="17">
        <v>6.0E7</v>
      </c>
      <c r="D63" s="17">
        <v>4.4E7</v>
      </c>
      <c r="E63" s="17">
        <v>4.8E7</v>
      </c>
      <c r="F63" s="17">
        <f t="shared" si="1"/>
        <v>12000000</v>
      </c>
      <c r="G63" s="23" t="s">
        <v>15</v>
      </c>
      <c r="H63" s="25" t="s">
        <v>19</v>
      </c>
      <c r="I63" s="29">
        <f t="shared" si="2"/>
        <v>0.2</v>
      </c>
      <c r="J63" s="30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22.5" customHeight="1">
      <c r="A64" s="12" t="s">
        <v>302</v>
      </c>
      <c r="B64" s="66" t="s">
        <v>146</v>
      </c>
      <c r="C64" s="17">
        <v>7.5E7</v>
      </c>
      <c r="D64" s="17">
        <v>5.4E7</v>
      </c>
      <c r="E64" s="17">
        <v>5.6E7</v>
      </c>
      <c r="F64" s="17">
        <f t="shared" si="1"/>
        <v>19000000</v>
      </c>
      <c r="G64" s="23" t="s">
        <v>15</v>
      </c>
      <c r="H64" s="25" t="s">
        <v>19</v>
      </c>
      <c r="I64" s="29">
        <f t="shared" si="2"/>
        <v>0.2533333333</v>
      </c>
      <c r="J64" s="30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22.5" customHeight="1">
      <c r="A65" s="12" t="s">
        <v>305</v>
      </c>
      <c r="B65" s="66" t="s">
        <v>146</v>
      </c>
      <c r="C65" s="17">
        <v>7.5E7</v>
      </c>
      <c r="D65" s="17">
        <v>5.4E7</v>
      </c>
      <c r="E65" s="17">
        <v>5.5E7</v>
      </c>
      <c r="F65" s="17">
        <f t="shared" si="1"/>
        <v>20000000</v>
      </c>
      <c r="G65" s="23" t="s">
        <v>15</v>
      </c>
      <c r="H65" s="25" t="s">
        <v>19</v>
      </c>
      <c r="I65" s="29">
        <f t="shared" si="2"/>
        <v>0.2666666667</v>
      </c>
      <c r="J65" s="30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22.5" customHeight="1">
      <c r="A66" s="12" t="s">
        <v>310</v>
      </c>
      <c r="B66" s="66" t="s">
        <v>146</v>
      </c>
      <c r="C66" s="17">
        <v>3.2E7</v>
      </c>
      <c r="D66" s="17">
        <v>2.5E7</v>
      </c>
      <c r="E66" s="17">
        <v>2.6E7</v>
      </c>
      <c r="F66" s="17">
        <f t="shared" si="1"/>
        <v>6000000</v>
      </c>
      <c r="G66" s="23" t="s">
        <v>15</v>
      </c>
      <c r="H66" s="25" t="s">
        <v>19</v>
      </c>
      <c r="I66" s="29">
        <f t="shared" si="2"/>
        <v>0.1875</v>
      </c>
      <c r="J66" s="30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22.5" customHeight="1">
      <c r="A67" s="12" t="s">
        <v>315</v>
      </c>
      <c r="B67" s="66" t="s">
        <v>158</v>
      </c>
      <c r="C67" s="17">
        <v>6.0E7</v>
      </c>
      <c r="D67" s="17">
        <v>4.4E7</v>
      </c>
      <c r="E67" s="17">
        <v>5.2E7</v>
      </c>
      <c r="F67" s="17">
        <f t="shared" si="1"/>
        <v>8000000</v>
      </c>
      <c r="G67" s="23" t="s">
        <v>15</v>
      </c>
      <c r="H67" s="25" t="s">
        <v>19</v>
      </c>
      <c r="I67" s="29">
        <f t="shared" si="2"/>
        <v>0.1333333333</v>
      </c>
      <c r="J67" s="63" t="s">
        <v>319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22.5" customHeight="1">
      <c r="A68" s="12" t="s">
        <v>320</v>
      </c>
      <c r="B68" s="66" t="s">
        <v>158</v>
      </c>
      <c r="C68" s="17">
        <v>2.9E7</v>
      </c>
      <c r="D68" s="17">
        <v>2.3E7</v>
      </c>
      <c r="E68" s="17">
        <v>2.7E7</v>
      </c>
      <c r="F68" s="17">
        <f t="shared" si="1"/>
        <v>2000000</v>
      </c>
      <c r="G68" s="23" t="s">
        <v>38</v>
      </c>
      <c r="H68" s="25" t="s">
        <v>19</v>
      </c>
      <c r="I68" s="29">
        <f t="shared" si="2"/>
        <v>0.06896551724</v>
      </c>
      <c r="J68" s="30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22.5" customHeight="1">
      <c r="A69" s="12" t="s">
        <v>325</v>
      </c>
      <c r="B69" s="66" t="s">
        <v>158</v>
      </c>
      <c r="C69" s="17">
        <v>5.0E7</v>
      </c>
      <c r="D69" s="17">
        <v>3.9E7</v>
      </c>
      <c r="E69" s="17">
        <v>4.5E7</v>
      </c>
      <c r="F69" s="17">
        <f t="shared" si="1"/>
        <v>5000000</v>
      </c>
      <c r="G69" s="23" t="s">
        <v>15</v>
      </c>
      <c r="H69" s="25" t="s">
        <v>19</v>
      </c>
      <c r="I69" s="29">
        <f t="shared" si="2"/>
        <v>0.1</v>
      </c>
      <c r="J69" s="30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22.5" customHeight="1">
      <c r="A70" s="12" t="s">
        <v>330</v>
      </c>
      <c r="B70" s="66" t="s">
        <v>158</v>
      </c>
      <c r="C70" s="17">
        <v>1.0E8</v>
      </c>
      <c r="D70" s="17">
        <v>6.9E7</v>
      </c>
      <c r="E70" s="17">
        <v>7.5E7</v>
      </c>
      <c r="F70" s="17">
        <f t="shared" si="1"/>
        <v>25000000</v>
      </c>
      <c r="G70" s="23" t="s">
        <v>24</v>
      </c>
      <c r="H70" s="25" t="s">
        <v>19</v>
      </c>
      <c r="I70" s="29">
        <f t="shared" si="2"/>
        <v>0.25</v>
      </c>
      <c r="J70" s="63" t="s">
        <v>334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22.5" customHeight="1">
      <c r="A71" s="12" t="s">
        <v>336</v>
      </c>
      <c r="B71" s="16">
        <v>46084.0</v>
      </c>
      <c r="C71" s="17">
        <v>2.5E7</v>
      </c>
      <c r="D71" s="17">
        <v>2.0E7</v>
      </c>
      <c r="E71" s="17">
        <v>2.0E7</v>
      </c>
      <c r="F71" s="17">
        <f t="shared" si="1"/>
        <v>5000000</v>
      </c>
      <c r="G71" s="23" t="s">
        <v>15</v>
      </c>
      <c r="H71" s="25" t="s">
        <v>19</v>
      </c>
      <c r="I71" s="29">
        <f t="shared" si="2"/>
        <v>0.2</v>
      </c>
      <c r="J71" s="30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22.5" customHeight="1">
      <c r="A72" s="12" t="s">
        <v>338</v>
      </c>
      <c r="B72" s="16">
        <v>46084.0</v>
      </c>
      <c r="C72" s="17">
        <v>5.0E7</v>
      </c>
      <c r="D72" s="17">
        <v>3.7E7</v>
      </c>
      <c r="E72" s="17">
        <v>4.75E7</v>
      </c>
      <c r="F72" s="17">
        <f t="shared" si="1"/>
        <v>2500000</v>
      </c>
      <c r="G72" s="23" t="s">
        <v>15</v>
      </c>
      <c r="H72" s="25" t="s">
        <v>19</v>
      </c>
      <c r="I72" s="29">
        <f t="shared" si="2"/>
        <v>0.05</v>
      </c>
      <c r="J72" s="30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22.5" customHeight="1">
      <c r="A73" s="12" t="s">
        <v>343</v>
      </c>
      <c r="B73" s="16">
        <v>46084.0</v>
      </c>
      <c r="C73" s="17">
        <v>4.0E7</v>
      </c>
      <c r="D73" s="17">
        <v>2.9E7</v>
      </c>
      <c r="E73" s="17">
        <v>3.2E7</v>
      </c>
      <c r="F73" s="17">
        <f t="shared" si="1"/>
        <v>8000000</v>
      </c>
      <c r="G73" s="23" t="s">
        <v>15</v>
      </c>
      <c r="H73" s="25" t="s">
        <v>19</v>
      </c>
      <c r="I73" s="29">
        <f t="shared" si="2"/>
        <v>0.2</v>
      </c>
      <c r="J73" s="30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22.5" customHeight="1">
      <c r="A74" s="12" t="s">
        <v>345</v>
      </c>
      <c r="B74" s="16">
        <v>46084.0</v>
      </c>
      <c r="C74" s="17">
        <v>4.5E7</v>
      </c>
      <c r="D74" s="17">
        <v>3.4E7</v>
      </c>
      <c r="E74" s="17">
        <v>3500000.0</v>
      </c>
      <c r="F74" s="17">
        <f t="shared" si="1"/>
        <v>41500000</v>
      </c>
      <c r="G74" s="23" t="s">
        <v>15</v>
      </c>
      <c r="H74" s="25" t="s">
        <v>19</v>
      </c>
      <c r="I74" s="29">
        <f t="shared" si="2"/>
        <v>0.9222222222</v>
      </c>
      <c r="J74" s="30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22.5" customHeight="1">
      <c r="A75" s="12" t="s">
        <v>350</v>
      </c>
      <c r="B75" s="16">
        <v>46084.0</v>
      </c>
      <c r="C75" s="17">
        <v>4.0E7</v>
      </c>
      <c r="D75" s="17">
        <v>2.9E7</v>
      </c>
      <c r="E75" s="17">
        <v>3.0E7</v>
      </c>
      <c r="F75" s="17">
        <f t="shared" si="1"/>
        <v>10000000</v>
      </c>
      <c r="G75" s="23" t="s">
        <v>15</v>
      </c>
      <c r="H75" s="25" t="s">
        <v>19</v>
      </c>
      <c r="I75" s="29">
        <f t="shared" si="2"/>
        <v>0.25</v>
      </c>
      <c r="J75" s="30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22.5" customHeight="1">
      <c r="A76" s="12" t="s">
        <v>353</v>
      </c>
      <c r="B76" s="16">
        <v>46084.0</v>
      </c>
      <c r="C76" s="17">
        <v>8.0E7</v>
      </c>
      <c r="D76" s="17">
        <v>6.5E7</v>
      </c>
      <c r="E76" s="17">
        <v>7.6E7</v>
      </c>
      <c r="F76" s="17">
        <f t="shared" si="1"/>
        <v>4000000</v>
      </c>
      <c r="G76" s="23" t="s">
        <v>15</v>
      </c>
      <c r="H76" s="25" t="s">
        <v>19</v>
      </c>
      <c r="I76" s="29">
        <f t="shared" si="2"/>
        <v>0.05</v>
      </c>
      <c r="J76" s="63" t="s">
        <v>358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22.5" customHeight="1">
      <c r="A77" s="12" t="s">
        <v>361</v>
      </c>
      <c r="B77" s="16">
        <v>46084.0</v>
      </c>
      <c r="C77" s="61"/>
      <c r="D77" s="61"/>
      <c r="E77" s="61"/>
      <c r="F77" s="17">
        <f t="shared" si="1"/>
        <v>0</v>
      </c>
      <c r="G77" s="23" t="s">
        <v>24</v>
      </c>
      <c r="H77" s="25" t="s">
        <v>19</v>
      </c>
      <c r="I77" s="29">
        <f t="shared" si="2"/>
        <v>0</v>
      </c>
      <c r="J77" s="63" t="s">
        <v>365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22.5" customHeight="1">
      <c r="A78" s="12" t="s">
        <v>367</v>
      </c>
      <c r="B78" s="16">
        <v>46084.0</v>
      </c>
      <c r="C78" s="61"/>
      <c r="D78" s="61"/>
      <c r="E78" s="61"/>
      <c r="F78" s="17">
        <f t="shared" si="1"/>
        <v>0</v>
      </c>
      <c r="G78" s="23" t="s">
        <v>24</v>
      </c>
      <c r="H78" s="25" t="s">
        <v>19</v>
      </c>
      <c r="I78" s="29">
        <f t="shared" si="2"/>
        <v>0</v>
      </c>
      <c r="J78" s="63" t="s">
        <v>372</v>
      </c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22.5" customHeight="1">
      <c r="A79" s="12" t="s">
        <v>374</v>
      </c>
      <c r="B79" s="16">
        <v>46084.0</v>
      </c>
      <c r="C79" s="61"/>
      <c r="D79" s="61"/>
      <c r="E79" s="61"/>
      <c r="F79" s="17">
        <f t="shared" si="1"/>
        <v>0</v>
      </c>
      <c r="G79" s="23" t="s">
        <v>24</v>
      </c>
      <c r="H79" s="25" t="s">
        <v>19</v>
      </c>
      <c r="I79" s="29">
        <f t="shared" si="2"/>
        <v>0</v>
      </c>
      <c r="J79" s="63" t="s">
        <v>377</v>
      </c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22.5" customHeight="1">
      <c r="A80" s="12" t="s">
        <v>379</v>
      </c>
      <c r="B80" s="16">
        <v>46084.0</v>
      </c>
      <c r="C80" s="17">
        <v>4.5E7</v>
      </c>
      <c r="D80" s="17">
        <v>4.0E7</v>
      </c>
      <c r="E80" s="17">
        <v>4.5E7</v>
      </c>
      <c r="F80" s="17">
        <f t="shared" si="1"/>
        <v>0</v>
      </c>
      <c r="G80" s="23" t="s">
        <v>15</v>
      </c>
      <c r="H80" s="25" t="s">
        <v>19</v>
      </c>
      <c r="I80" s="29">
        <f t="shared" si="2"/>
        <v>0</v>
      </c>
      <c r="J80" s="30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22.5" customHeight="1">
      <c r="A81" s="12" t="s">
        <v>383</v>
      </c>
      <c r="B81" s="16">
        <v>46084.0</v>
      </c>
      <c r="C81" s="61"/>
      <c r="D81" s="61"/>
      <c r="E81" s="61"/>
      <c r="F81" s="17">
        <f t="shared" si="1"/>
        <v>0</v>
      </c>
      <c r="G81" s="23" t="s">
        <v>24</v>
      </c>
      <c r="H81" s="25" t="s">
        <v>19</v>
      </c>
      <c r="I81" s="29">
        <f t="shared" si="2"/>
        <v>0</v>
      </c>
      <c r="J81" s="63" t="s">
        <v>386</v>
      </c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22.5" customHeight="1">
      <c r="A82" s="12" t="s">
        <v>387</v>
      </c>
      <c r="B82" s="16">
        <v>46084.0</v>
      </c>
      <c r="C82" s="17">
        <v>3.0E7</v>
      </c>
      <c r="D82" s="17">
        <v>1.9E7</v>
      </c>
      <c r="E82" s="17">
        <v>2.0E7</v>
      </c>
      <c r="F82" s="17">
        <f t="shared" si="1"/>
        <v>10000000</v>
      </c>
      <c r="G82" s="23" t="s">
        <v>15</v>
      </c>
      <c r="H82" s="25" t="s">
        <v>19</v>
      </c>
      <c r="I82" s="29">
        <f t="shared" si="2"/>
        <v>0.3333333333</v>
      </c>
      <c r="J82" s="30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22.5" customHeight="1">
      <c r="A83" s="12" t="s">
        <v>389</v>
      </c>
      <c r="B83" s="16">
        <v>46084.0</v>
      </c>
      <c r="C83" s="17">
        <v>1.0E8</v>
      </c>
      <c r="D83" s="17">
        <v>7.0E7</v>
      </c>
      <c r="E83" s="17">
        <v>0.0</v>
      </c>
      <c r="F83" s="17">
        <v>0.0</v>
      </c>
      <c r="G83" s="23" t="s">
        <v>24</v>
      </c>
      <c r="H83" s="25" t="s">
        <v>19</v>
      </c>
      <c r="I83" s="29">
        <f t="shared" si="2"/>
        <v>0</v>
      </c>
      <c r="J83" s="63" t="s">
        <v>394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22.5" customHeight="1">
      <c r="A84" s="12" t="s">
        <v>395</v>
      </c>
      <c r="B84" s="16">
        <v>46145.0</v>
      </c>
      <c r="C84" s="17">
        <v>4.0E7</v>
      </c>
      <c r="D84" s="17">
        <v>2.9E7</v>
      </c>
      <c r="E84" s="17">
        <v>3.5E7</v>
      </c>
      <c r="F84" s="17">
        <f t="shared" ref="F84:F94" si="3">C84-E84</f>
        <v>5000000</v>
      </c>
      <c r="G84" s="23" t="s">
        <v>15</v>
      </c>
      <c r="H84" s="25" t="s">
        <v>19</v>
      </c>
      <c r="I84" s="29">
        <f t="shared" si="2"/>
        <v>0.125</v>
      </c>
      <c r="J84" s="30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22.5" customHeight="1">
      <c r="A85" s="12" t="s">
        <v>398</v>
      </c>
      <c r="B85" s="16">
        <v>46145.0</v>
      </c>
      <c r="C85" s="17">
        <v>2.5E7</v>
      </c>
      <c r="D85" s="17">
        <v>1.9E7</v>
      </c>
      <c r="E85" s="17">
        <v>2.0E7</v>
      </c>
      <c r="F85" s="17">
        <f t="shared" si="3"/>
        <v>5000000</v>
      </c>
      <c r="G85" s="23" t="s">
        <v>15</v>
      </c>
      <c r="H85" s="25" t="s">
        <v>19</v>
      </c>
      <c r="I85" s="29">
        <f t="shared" si="2"/>
        <v>0.2</v>
      </c>
      <c r="J85" s="30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22.5" customHeight="1">
      <c r="A86" s="12" t="s">
        <v>403</v>
      </c>
      <c r="B86" s="16">
        <v>46145.0</v>
      </c>
      <c r="C86" s="61"/>
      <c r="D86" s="61"/>
      <c r="E86" s="61"/>
      <c r="F86" s="17">
        <f t="shared" si="3"/>
        <v>0</v>
      </c>
      <c r="G86" s="23" t="s">
        <v>24</v>
      </c>
      <c r="H86" s="25" t="s">
        <v>19</v>
      </c>
      <c r="I86" s="29">
        <f t="shared" si="2"/>
        <v>0</v>
      </c>
      <c r="J86" s="30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22.5" customHeight="1">
      <c r="A87" s="12" t="s">
        <v>407</v>
      </c>
      <c r="B87" s="16">
        <v>46145.0</v>
      </c>
      <c r="C87" s="17">
        <v>4.0E7</v>
      </c>
      <c r="D87" s="17">
        <v>3.0E7</v>
      </c>
      <c r="E87" s="17">
        <v>3.0E7</v>
      </c>
      <c r="F87" s="17">
        <f t="shared" si="3"/>
        <v>10000000</v>
      </c>
      <c r="G87" s="23" t="s">
        <v>15</v>
      </c>
      <c r="H87" s="25" t="s">
        <v>19</v>
      </c>
      <c r="I87" s="29">
        <f t="shared" si="2"/>
        <v>0.25</v>
      </c>
      <c r="J87" s="30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22.5" customHeight="1">
      <c r="A88" s="12" t="s">
        <v>411</v>
      </c>
      <c r="B88" s="16">
        <v>46145.0</v>
      </c>
      <c r="C88" s="17">
        <v>4.0E7</v>
      </c>
      <c r="D88" s="17">
        <v>2.9E7</v>
      </c>
      <c r="E88" s="17">
        <v>3.5E7</v>
      </c>
      <c r="F88" s="17">
        <f t="shared" si="3"/>
        <v>5000000</v>
      </c>
      <c r="G88" s="23" t="s">
        <v>15</v>
      </c>
      <c r="H88" s="25" t="s">
        <v>19</v>
      </c>
      <c r="I88" s="29">
        <f t="shared" si="2"/>
        <v>0.125</v>
      </c>
      <c r="J88" s="30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22.5" customHeight="1">
      <c r="A89" s="12" t="s">
        <v>415</v>
      </c>
      <c r="B89" s="16">
        <v>46145.0</v>
      </c>
      <c r="C89" s="17">
        <v>3.5E7</v>
      </c>
      <c r="D89" s="17">
        <v>2.7E7</v>
      </c>
      <c r="E89" s="17">
        <v>3.3E7</v>
      </c>
      <c r="F89" s="17">
        <f t="shared" si="3"/>
        <v>2000000</v>
      </c>
      <c r="G89" s="23" t="s">
        <v>15</v>
      </c>
      <c r="H89" s="25" t="s">
        <v>19</v>
      </c>
      <c r="I89" s="29">
        <f t="shared" si="2"/>
        <v>0.05714285714</v>
      </c>
      <c r="J89" s="30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22.5" customHeight="1">
      <c r="A90" s="12" t="s">
        <v>419</v>
      </c>
      <c r="B90" s="16">
        <v>46145.0</v>
      </c>
      <c r="C90" s="17">
        <v>3.0E7</v>
      </c>
      <c r="D90" s="17">
        <v>2.5E7</v>
      </c>
      <c r="E90" s="17">
        <v>3.0E7</v>
      </c>
      <c r="F90" s="17">
        <f t="shared" si="3"/>
        <v>0</v>
      </c>
      <c r="G90" s="23" t="s">
        <v>15</v>
      </c>
      <c r="H90" s="25" t="s">
        <v>19</v>
      </c>
      <c r="I90" s="29">
        <f t="shared" si="2"/>
        <v>0</v>
      </c>
      <c r="J90" s="30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22.5" customHeight="1">
      <c r="A91" s="12" t="s">
        <v>424</v>
      </c>
      <c r="B91" s="16">
        <v>46145.0</v>
      </c>
      <c r="C91" s="17">
        <v>3.5E7</v>
      </c>
      <c r="D91" s="17">
        <v>2.6E7</v>
      </c>
      <c r="E91" s="17">
        <v>2.8E7</v>
      </c>
      <c r="F91" s="17">
        <f t="shared" si="3"/>
        <v>7000000</v>
      </c>
      <c r="G91" s="23" t="s">
        <v>15</v>
      </c>
      <c r="H91" s="25" t="s">
        <v>19</v>
      </c>
      <c r="I91" s="29">
        <f t="shared" si="2"/>
        <v>0.2</v>
      </c>
      <c r="J91" s="30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22.5" customHeight="1">
      <c r="A92" s="12" t="s">
        <v>428</v>
      </c>
      <c r="B92" s="16">
        <v>46145.0</v>
      </c>
      <c r="C92" s="17">
        <v>1.75E7</v>
      </c>
      <c r="D92" s="17">
        <v>1.4E7</v>
      </c>
      <c r="E92" s="17">
        <v>1.5E7</v>
      </c>
      <c r="F92" s="17">
        <f t="shared" si="3"/>
        <v>2500000</v>
      </c>
      <c r="G92" s="23" t="s">
        <v>15</v>
      </c>
      <c r="H92" s="25" t="s">
        <v>19</v>
      </c>
      <c r="I92" s="29">
        <f t="shared" si="2"/>
        <v>0.1428571429</v>
      </c>
      <c r="J92" s="30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22.5" customHeight="1">
      <c r="A93" s="12" t="s">
        <v>430</v>
      </c>
      <c r="B93" s="66" t="s">
        <v>433</v>
      </c>
      <c r="C93" s="17">
        <v>5.5E7</v>
      </c>
      <c r="D93" s="17">
        <v>3.9E7</v>
      </c>
      <c r="E93" s="17">
        <v>4.7E7</v>
      </c>
      <c r="F93" s="17">
        <f t="shared" si="3"/>
        <v>8000000</v>
      </c>
      <c r="G93" s="23" t="s">
        <v>15</v>
      </c>
      <c r="H93" s="25" t="s">
        <v>19</v>
      </c>
      <c r="I93" s="29">
        <f t="shared" si="2"/>
        <v>0.1454545455</v>
      </c>
      <c r="J93" s="30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22.5" customHeight="1">
      <c r="A94" s="12" t="s">
        <v>436</v>
      </c>
      <c r="B94" s="66" t="s">
        <v>433</v>
      </c>
      <c r="C94" s="17">
        <v>8.0E7</v>
      </c>
      <c r="D94" s="17">
        <v>5.9E7</v>
      </c>
      <c r="E94" s="17">
        <v>7.0E7</v>
      </c>
      <c r="F94" s="17">
        <f t="shared" si="3"/>
        <v>10000000</v>
      </c>
      <c r="G94" s="23" t="s">
        <v>15</v>
      </c>
      <c r="H94" s="25" t="s">
        <v>19</v>
      </c>
      <c r="I94" s="29">
        <f t="shared" si="2"/>
        <v>0.125</v>
      </c>
      <c r="J94" s="63" t="s">
        <v>439</v>
      </c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22.5" customHeight="1">
      <c r="A95" s="12" t="s">
        <v>440</v>
      </c>
      <c r="B95" s="66" t="s">
        <v>433</v>
      </c>
      <c r="C95" s="17">
        <v>4.0E7</v>
      </c>
      <c r="D95" s="61"/>
      <c r="E95" s="61"/>
      <c r="F95" s="17">
        <v>0.0</v>
      </c>
      <c r="G95" s="23" t="s">
        <v>24</v>
      </c>
      <c r="H95" s="25" t="s">
        <v>19</v>
      </c>
      <c r="I95" s="29">
        <f t="shared" si="2"/>
        <v>0</v>
      </c>
      <c r="J95" s="63" t="s">
        <v>444</v>
      </c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22.5" customHeight="1">
      <c r="A96" s="12" t="s">
        <v>445</v>
      </c>
      <c r="B96" s="66" t="s">
        <v>433</v>
      </c>
      <c r="C96" s="17">
        <v>9.0E7</v>
      </c>
      <c r="D96" s="17">
        <v>6.4E7</v>
      </c>
      <c r="E96" s="17">
        <v>6.5E7</v>
      </c>
      <c r="F96" s="17">
        <f t="shared" ref="F96:F110" si="4">C96-E96</f>
        <v>25000000</v>
      </c>
      <c r="G96" s="23" t="s">
        <v>15</v>
      </c>
      <c r="H96" s="25" t="s">
        <v>19</v>
      </c>
      <c r="I96" s="29">
        <f t="shared" si="2"/>
        <v>0.2777777778</v>
      </c>
      <c r="J96" s="30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22.5" customHeight="1">
      <c r="A97" s="12" t="s">
        <v>451</v>
      </c>
      <c r="B97" s="66" t="s">
        <v>433</v>
      </c>
      <c r="C97" s="17">
        <v>6.0E7</v>
      </c>
      <c r="D97" s="17">
        <v>4.4E7</v>
      </c>
      <c r="E97" s="17">
        <v>4.5E7</v>
      </c>
      <c r="F97" s="17">
        <f t="shared" si="4"/>
        <v>15000000</v>
      </c>
      <c r="G97" s="23" t="s">
        <v>15</v>
      </c>
      <c r="H97" s="25" t="s">
        <v>19</v>
      </c>
      <c r="I97" s="29">
        <f t="shared" si="2"/>
        <v>0.25</v>
      </c>
      <c r="J97" s="30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22.5" customHeight="1">
      <c r="A98" s="12" t="s">
        <v>454</v>
      </c>
      <c r="B98" s="66" t="s">
        <v>433</v>
      </c>
      <c r="C98" s="17">
        <v>4.9E7</v>
      </c>
      <c r="D98" s="17">
        <v>3.7E7</v>
      </c>
      <c r="E98" s="17">
        <v>4.5E7</v>
      </c>
      <c r="F98" s="17">
        <f t="shared" si="4"/>
        <v>4000000</v>
      </c>
      <c r="G98" s="23" t="s">
        <v>15</v>
      </c>
      <c r="H98" s="25" t="s">
        <v>19</v>
      </c>
      <c r="I98" s="29">
        <f t="shared" si="2"/>
        <v>0.08163265306</v>
      </c>
      <c r="J98" s="30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22.5" customHeight="1">
      <c r="A99" s="12" t="s">
        <v>457</v>
      </c>
      <c r="B99" s="66" t="s">
        <v>433</v>
      </c>
      <c r="C99" s="17">
        <v>4.0E7</v>
      </c>
      <c r="D99" s="17">
        <v>2.9E7</v>
      </c>
      <c r="E99" s="17">
        <v>3.0E7</v>
      </c>
      <c r="F99" s="17">
        <f t="shared" si="4"/>
        <v>10000000</v>
      </c>
      <c r="G99" s="23" t="s">
        <v>15</v>
      </c>
      <c r="H99" s="25" t="s">
        <v>19</v>
      </c>
      <c r="I99" s="29">
        <f t="shared" si="2"/>
        <v>0.25</v>
      </c>
      <c r="J99" s="30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22.5" customHeight="1">
      <c r="A100" s="12" t="s">
        <v>461</v>
      </c>
      <c r="B100" s="66" t="s">
        <v>433</v>
      </c>
      <c r="C100" s="17">
        <v>4.5E7</v>
      </c>
      <c r="D100" s="17">
        <v>3.4E7</v>
      </c>
      <c r="E100" s="17">
        <v>3.7E7</v>
      </c>
      <c r="F100" s="17">
        <f t="shared" si="4"/>
        <v>8000000</v>
      </c>
      <c r="G100" s="23" t="s">
        <v>15</v>
      </c>
      <c r="H100" s="25" t="s">
        <v>19</v>
      </c>
      <c r="I100" s="29">
        <f t="shared" si="2"/>
        <v>0.1777777778</v>
      </c>
      <c r="J100" s="30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22.5" customHeight="1">
      <c r="A101" s="12" t="s">
        <v>464</v>
      </c>
      <c r="B101" s="66" t="s">
        <v>433</v>
      </c>
      <c r="C101" s="61"/>
      <c r="D101" s="61"/>
      <c r="E101" s="61"/>
      <c r="F101" s="17">
        <f t="shared" si="4"/>
        <v>0</v>
      </c>
      <c r="G101" s="23" t="s">
        <v>38</v>
      </c>
      <c r="H101" s="25" t="s">
        <v>19</v>
      </c>
      <c r="I101" s="29">
        <f t="shared" si="2"/>
        <v>0</v>
      </c>
      <c r="J101" s="30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22.5" customHeight="1">
      <c r="A102" s="12" t="s">
        <v>469</v>
      </c>
      <c r="B102" s="66" t="s">
        <v>470</v>
      </c>
      <c r="C102" s="17">
        <v>2.5E7</v>
      </c>
      <c r="D102" s="17">
        <v>1.9E7</v>
      </c>
      <c r="E102" s="17">
        <v>2.0E7</v>
      </c>
      <c r="F102" s="17">
        <f t="shared" si="4"/>
        <v>5000000</v>
      </c>
      <c r="G102" s="23" t="s">
        <v>15</v>
      </c>
      <c r="H102" s="25" t="s">
        <v>19</v>
      </c>
      <c r="I102" s="29">
        <f t="shared" si="2"/>
        <v>0.2</v>
      </c>
      <c r="J102" s="30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22.5" customHeight="1">
      <c r="A103" s="12" t="s">
        <v>473</v>
      </c>
      <c r="B103" s="66" t="s">
        <v>474</v>
      </c>
      <c r="C103" s="17">
        <v>2.5E7</v>
      </c>
      <c r="D103" s="61"/>
      <c r="E103" s="17">
        <v>2.5E7</v>
      </c>
      <c r="F103" s="17">
        <f t="shared" si="4"/>
        <v>0</v>
      </c>
      <c r="G103" s="23" t="s">
        <v>24</v>
      </c>
      <c r="H103" s="25" t="s">
        <v>19</v>
      </c>
      <c r="I103" s="29">
        <f t="shared" si="2"/>
        <v>0</v>
      </c>
      <c r="J103" s="63" t="s">
        <v>477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22.5" customHeight="1">
      <c r="A104" s="12" t="s">
        <v>479</v>
      </c>
      <c r="B104" s="66" t="s">
        <v>474</v>
      </c>
      <c r="C104" s="17">
        <v>6.5E7</v>
      </c>
      <c r="D104" s="17">
        <v>4.8E7</v>
      </c>
      <c r="E104" s="17">
        <v>5.5E7</v>
      </c>
      <c r="F104" s="17">
        <f t="shared" si="4"/>
        <v>10000000</v>
      </c>
      <c r="G104" s="23" t="s">
        <v>15</v>
      </c>
      <c r="H104" s="25" t="s">
        <v>19</v>
      </c>
      <c r="I104" s="29">
        <f t="shared" si="2"/>
        <v>0.1538461538</v>
      </c>
      <c r="J104" s="30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22.5" customHeight="1">
      <c r="A105" s="12" t="s">
        <v>483</v>
      </c>
      <c r="B105" s="66" t="s">
        <v>474</v>
      </c>
      <c r="C105" s="17">
        <v>5.5E7</v>
      </c>
      <c r="D105" s="17">
        <v>4.3E7</v>
      </c>
      <c r="E105" s="17">
        <v>4.4E7</v>
      </c>
      <c r="F105" s="17">
        <f t="shared" si="4"/>
        <v>11000000</v>
      </c>
      <c r="G105" s="23" t="s">
        <v>15</v>
      </c>
      <c r="H105" s="25" t="s">
        <v>19</v>
      </c>
      <c r="I105" s="29">
        <f t="shared" si="2"/>
        <v>0.2</v>
      </c>
      <c r="J105" s="30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22.5" customHeight="1">
      <c r="A106" s="25" t="s">
        <v>487</v>
      </c>
      <c r="B106" s="101">
        <v>46026.0</v>
      </c>
      <c r="C106" s="102">
        <v>8500000.0</v>
      </c>
      <c r="D106" s="102">
        <v>6000000.0</v>
      </c>
      <c r="E106" s="102">
        <v>8500000.0</v>
      </c>
      <c r="F106" s="102">
        <f t="shared" si="4"/>
        <v>0</v>
      </c>
      <c r="G106" s="23" t="s">
        <v>15</v>
      </c>
      <c r="H106" s="25" t="s">
        <v>19</v>
      </c>
      <c r="I106" s="29">
        <f t="shared" si="2"/>
        <v>0</v>
      </c>
      <c r="J106" s="63" t="s">
        <v>490</v>
      </c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22.5" customHeight="1">
      <c r="A107" s="25" t="s">
        <v>492</v>
      </c>
      <c r="B107" s="101">
        <v>46026.0</v>
      </c>
      <c r="C107" s="102">
        <v>3.0E7</v>
      </c>
      <c r="D107" s="102">
        <v>2.4E7</v>
      </c>
      <c r="E107" s="102">
        <v>3.0E7</v>
      </c>
      <c r="F107" s="102">
        <f t="shared" si="4"/>
        <v>0</v>
      </c>
      <c r="G107" s="23" t="s">
        <v>15</v>
      </c>
      <c r="H107" s="25" t="s">
        <v>19</v>
      </c>
      <c r="I107" s="29">
        <f t="shared" si="2"/>
        <v>0</v>
      </c>
      <c r="J107" s="63" t="s">
        <v>496</v>
      </c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22.5" customHeight="1">
      <c r="A108" s="25" t="s">
        <v>499</v>
      </c>
      <c r="B108" s="101">
        <v>46026.0</v>
      </c>
      <c r="C108" s="102">
        <v>2.8E7</v>
      </c>
      <c r="D108" s="102">
        <v>1.9E7</v>
      </c>
      <c r="E108" s="102">
        <v>2.25E7</v>
      </c>
      <c r="F108" s="102">
        <f t="shared" si="4"/>
        <v>5500000</v>
      </c>
      <c r="G108" s="23" t="s">
        <v>15</v>
      </c>
      <c r="H108" s="25" t="s">
        <v>19</v>
      </c>
      <c r="I108" s="29">
        <f t="shared" si="2"/>
        <v>0.1964285714</v>
      </c>
      <c r="J108" s="30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22.5" customHeight="1">
      <c r="A109" s="25" t="s">
        <v>503</v>
      </c>
      <c r="B109" s="101">
        <v>46026.0</v>
      </c>
      <c r="C109" s="102">
        <v>8.0E7</v>
      </c>
      <c r="D109" s="102">
        <v>6.5E7</v>
      </c>
      <c r="E109" s="102">
        <v>8.0E7</v>
      </c>
      <c r="F109" s="102">
        <f t="shared" si="4"/>
        <v>0</v>
      </c>
      <c r="G109" s="23" t="s">
        <v>24</v>
      </c>
      <c r="H109" s="25" t="s">
        <v>19</v>
      </c>
      <c r="I109" s="29">
        <f t="shared" si="2"/>
        <v>0</v>
      </c>
      <c r="J109" s="63" t="s">
        <v>507</v>
      </c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22.5" customHeight="1">
      <c r="A110" s="12" t="s">
        <v>510</v>
      </c>
      <c r="B110" s="101">
        <v>46026.0</v>
      </c>
      <c r="C110" s="102">
        <v>4.0E7</v>
      </c>
      <c r="D110" s="102">
        <v>2.9E7</v>
      </c>
      <c r="E110" s="102">
        <v>3.0E7</v>
      </c>
      <c r="F110" s="102">
        <f t="shared" si="4"/>
        <v>10000000</v>
      </c>
      <c r="G110" s="23" t="s">
        <v>15</v>
      </c>
      <c r="H110" s="25" t="s">
        <v>19</v>
      </c>
      <c r="I110" s="29">
        <f t="shared" si="2"/>
        <v>0.25</v>
      </c>
      <c r="J110" s="30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22.5" customHeight="1">
      <c r="A111" s="25" t="s">
        <v>515</v>
      </c>
      <c r="B111" s="101">
        <v>46026.0</v>
      </c>
      <c r="C111" s="102">
        <v>8.0E7</v>
      </c>
      <c r="D111" s="102">
        <v>5.9E7</v>
      </c>
      <c r="E111" s="102">
        <v>0.0</v>
      </c>
      <c r="F111" s="102">
        <v>0.0</v>
      </c>
      <c r="G111" s="23" t="s">
        <v>24</v>
      </c>
      <c r="H111" s="25" t="s">
        <v>19</v>
      </c>
      <c r="I111" s="29">
        <f t="shared" si="2"/>
        <v>0</v>
      </c>
      <c r="J111" s="63" t="s">
        <v>519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22.5" customHeight="1">
      <c r="A112" s="63" t="s">
        <v>520</v>
      </c>
      <c r="B112" s="101">
        <v>46116.0</v>
      </c>
      <c r="C112" s="102">
        <v>3.4E7</v>
      </c>
      <c r="D112" s="102">
        <v>2.4E7</v>
      </c>
      <c r="E112" s="102">
        <v>2.5E7</v>
      </c>
      <c r="F112" s="102">
        <f t="shared" ref="F112:F115" si="5">C112-E112</f>
        <v>9000000</v>
      </c>
      <c r="G112" s="23" t="s">
        <v>15</v>
      </c>
      <c r="H112" s="25" t="s">
        <v>19</v>
      </c>
      <c r="I112" s="29">
        <f t="shared" si="2"/>
        <v>0.2647058824</v>
      </c>
      <c r="J112" s="63" t="s">
        <v>522</v>
      </c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22.5" customHeight="1">
      <c r="A113" s="63" t="s">
        <v>525</v>
      </c>
      <c r="B113" s="101">
        <v>46116.0</v>
      </c>
      <c r="C113" s="102">
        <v>9.5E7</v>
      </c>
      <c r="D113" s="102">
        <v>6.9E7</v>
      </c>
      <c r="E113" s="102">
        <v>8.5E7</v>
      </c>
      <c r="F113" s="102">
        <f t="shared" si="5"/>
        <v>10000000</v>
      </c>
      <c r="G113" s="108" t="s">
        <v>24</v>
      </c>
      <c r="H113" s="25" t="s">
        <v>19</v>
      </c>
      <c r="I113" s="29">
        <f t="shared" si="2"/>
        <v>0.1052631579</v>
      </c>
      <c r="J113" s="63" t="s">
        <v>528</v>
      </c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22.5" customHeight="1">
      <c r="A114" s="63" t="s">
        <v>530</v>
      </c>
      <c r="B114" s="101">
        <v>46116.0</v>
      </c>
      <c r="C114" s="102">
        <v>6.5E7</v>
      </c>
      <c r="D114" s="102">
        <v>4.9E7</v>
      </c>
      <c r="E114" s="102">
        <v>5.5E7</v>
      </c>
      <c r="F114" s="102">
        <f t="shared" si="5"/>
        <v>10000000</v>
      </c>
      <c r="G114" s="23" t="s">
        <v>15</v>
      </c>
      <c r="H114" s="25" t="s">
        <v>19</v>
      </c>
      <c r="I114" s="29">
        <f t="shared" si="2"/>
        <v>0.1538461538</v>
      </c>
      <c r="J114" s="30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22.5" customHeight="1">
      <c r="A115" s="63" t="s">
        <v>537</v>
      </c>
      <c r="B115" s="101">
        <v>46116.0</v>
      </c>
      <c r="C115" s="102">
        <v>8.5E7</v>
      </c>
      <c r="D115" s="102">
        <v>5.9E7</v>
      </c>
      <c r="E115" s="102">
        <v>8.0E7</v>
      </c>
      <c r="F115" s="102">
        <f t="shared" si="5"/>
        <v>5000000</v>
      </c>
      <c r="G115" s="23" t="s">
        <v>24</v>
      </c>
      <c r="H115" s="25" t="s">
        <v>19</v>
      </c>
      <c r="I115" s="29">
        <f t="shared" si="2"/>
        <v>0.05882352941</v>
      </c>
      <c r="J115" s="63" t="s">
        <v>539</v>
      </c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22.5" customHeight="1">
      <c r="A116" s="63" t="s">
        <v>541</v>
      </c>
      <c r="B116" s="101">
        <v>46116.0</v>
      </c>
      <c r="C116" s="102">
        <v>3.0E7</v>
      </c>
      <c r="D116" s="102"/>
      <c r="E116" s="102"/>
      <c r="F116" s="102">
        <v>0.0</v>
      </c>
      <c r="G116" s="23" t="s">
        <v>24</v>
      </c>
      <c r="H116" s="25" t="s">
        <v>19</v>
      </c>
      <c r="I116" s="29">
        <f t="shared" si="2"/>
        <v>0</v>
      </c>
      <c r="J116" s="63" t="s">
        <v>539</v>
      </c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22.5" customHeight="1">
      <c r="A117" s="63" t="s">
        <v>543</v>
      </c>
      <c r="B117" s="101">
        <v>46116.0</v>
      </c>
      <c r="C117" s="102">
        <v>6.0E7</v>
      </c>
      <c r="D117" s="102">
        <v>4.4E7</v>
      </c>
      <c r="E117" s="102">
        <v>4.8E7</v>
      </c>
      <c r="F117" s="102">
        <f t="shared" ref="F117:F118" si="6">C117-E117</f>
        <v>12000000</v>
      </c>
      <c r="G117" s="23" t="s">
        <v>15</v>
      </c>
      <c r="H117" s="25" t="s">
        <v>19</v>
      </c>
      <c r="I117" s="29">
        <f t="shared" si="2"/>
        <v>0.2</v>
      </c>
      <c r="J117" s="30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22.5" customHeight="1">
      <c r="A118" s="63" t="s">
        <v>547</v>
      </c>
      <c r="B118" s="101">
        <v>46116.0</v>
      </c>
      <c r="C118" s="102">
        <v>6.0E7</v>
      </c>
      <c r="D118" s="102">
        <v>4.4E7</v>
      </c>
      <c r="E118" s="102">
        <v>5.5E7</v>
      </c>
      <c r="F118" s="102">
        <f t="shared" si="6"/>
        <v>5000000</v>
      </c>
      <c r="G118" s="23" t="s">
        <v>15</v>
      </c>
      <c r="H118" s="25" t="s">
        <v>19</v>
      </c>
      <c r="I118" s="29">
        <f t="shared" si="2"/>
        <v>0.08333333333</v>
      </c>
      <c r="J118" s="30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22.5" customHeight="1">
      <c r="A119" s="63" t="s">
        <v>551</v>
      </c>
      <c r="B119" s="101">
        <v>46116.0</v>
      </c>
      <c r="C119" s="102">
        <v>7.0E7</v>
      </c>
      <c r="D119" s="102">
        <v>6.0E7</v>
      </c>
      <c r="E119" s="102">
        <v>7.0E7</v>
      </c>
      <c r="F119" s="102">
        <v>0.0</v>
      </c>
      <c r="G119" s="23" t="s">
        <v>38</v>
      </c>
      <c r="H119" s="25" t="s">
        <v>19</v>
      </c>
      <c r="I119" s="29">
        <f t="shared" si="2"/>
        <v>0</v>
      </c>
      <c r="J119" s="63" t="s">
        <v>555</v>
      </c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22.5" customHeight="1">
      <c r="A120" s="63" t="s">
        <v>557</v>
      </c>
      <c r="B120" s="101">
        <v>46207.0</v>
      </c>
      <c r="C120" s="102">
        <v>7.0E7</v>
      </c>
      <c r="D120" s="102">
        <v>5.4E7</v>
      </c>
      <c r="E120" s="102">
        <v>5.5E7</v>
      </c>
      <c r="F120" s="102">
        <f t="shared" ref="F120:F132" si="7">C120-E120</f>
        <v>15000000</v>
      </c>
      <c r="G120" s="23" t="s">
        <v>15</v>
      </c>
      <c r="H120" s="25" t="s">
        <v>19</v>
      </c>
      <c r="I120" s="29">
        <f t="shared" si="2"/>
        <v>0.2142857143</v>
      </c>
      <c r="J120" s="63" t="s">
        <v>561</v>
      </c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22.5" customHeight="1">
      <c r="A121" s="63" t="s">
        <v>562</v>
      </c>
      <c r="B121" s="101">
        <v>46269.0</v>
      </c>
      <c r="C121" s="102">
        <v>6.5E7</v>
      </c>
      <c r="D121" s="102">
        <v>4.4E7</v>
      </c>
      <c r="E121" s="102">
        <v>5.0E7</v>
      </c>
      <c r="F121" s="102">
        <f t="shared" si="7"/>
        <v>15000000</v>
      </c>
      <c r="G121" s="23" t="s">
        <v>15</v>
      </c>
      <c r="H121" s="25" t="s">
        <v>19</v>
      </c>
      <c r="I121" s="29">
        <f t="shared" si="2"/>
        <v>0.2307692308</v>
      </c>
      <c r="J121" s="63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22.5" customHeight="1">
      <c r="A122" s="63" t="s">
        <v>567</v>
      </c>
      <c r="B122" s="101">
        <v>46269.0</v>
      </c>
      <c r="C122" s="102">
        <v>6.5E7</v>
      </c>
      <c r="D122" s="102">
        <v>4.8E7</v>
      </c>
      <c r="E122" s="102">
        <v>5.0E7</v>
      </c>
      <c r="F122" s="102">
        <f t="shared" si="7"/>
        <v>15000000</v>
      </c>
      <c r="G122" s="23" t="s">
        <v>15</v>
      </c>
      <c r="H122" s="25" t="s">
        <v>19</v>
      </c>
      <c r="I122" s="29">
        <f t="shared" si="2"/>
        <v>0.2307692308</v>
      </c>
      <c r="J122" s="63" t="s">
        <v>571</v>
      </c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22.5" customHeight="1">
      <c r="A123" s="63" t="s">
        <v>573</v>
      </c>
      <c r="B123" s="101">
        <v>46269.0</v>
      </c>
      <c r="C123" s="102">
        <v>3.5E7</v>
      </c>
      <c r="D123" s="102">
        <v>2.7E7</v>
      </c>
      <c r="E123" s="102">
        <v>3.0E7</v>
      </c>
      <c r="F123" s="102">
        <f t="shared" si="7"/>
        <v>5000000</v>
      </c>
      <c r="G123" s="23" t="s">
        <v>15</v>
      </c>
      <c r="H123" s="25" t="s">
        <v>19</v>
      </c>
      <c r="I123" s="29">
        <f t="shared" si="2"/>
        <v>0.1428571429</v>
      </c>
      <c r="J123" s="63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22.5" customHeight="1">
      <c r="A124" s="63" t="s">
        <v>578</v>
      </c>
      <c r="B124" s="101">
        <v>46299.0</v>
      </c>
      <c r="C124" s="102">
        <v>1.3E8</v>
      </c>
      <c r="D124" s="102">
        <v>0.0</v>
      </c>
      <c r="E124" s="102">
        <v>1.3E8</v>
      </c>
      <c r="F124" s="102">
        <f t="shared" si="7"/>
        <v>0</v>
      </c>
      <c r="G124" s="23" t="s">
        <v>24</v>
      </c>
      <c r="H124" s="25" t="s">
        <v>19</v>
      </c>
      <c r="I124" s="29">
        <f t="shared" si="2"/>
        <v>0</v>
      </c>
      <c r="J124" s="63" t="s">
        <v>581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22.5" customHeight="1">
      <c r="A125" s="63" t="s">
        <v>583</v>
      </c>
      <c r="B125" s="101">
        <v>46299.0</v>
      </c>
      <c r="C125" s="102">
        <v>1.8E8</v>
      </c>
      <c r="D125" s="102">
        <v>1.6E8</v>
      </c>
      <c r="E125" s="102">
        <v>1.7E8</v>
      </c>
      <c r="F125" s="102">
        <f t="shared" si="7"/>
        <v>10000000</v>
      </c>
      <c r="G125" s="23" t="s">
        <v>15</v>
      </c>
      <c r="H125" s="25" t="s">
        <v>19</v>
      </c>
      <c r="I125" s="29">
        <f t="shared" si="2"/>
        <v>0.05555555556</v>
      </c>
      <c r="J125" s="63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22.5" customHeight="1">
      <c r="A126" s="63" t="s">
        <v>587</v>
      </c>
      <c r="B126" s="115" t="s">
        <v>588</v>
      </c>
      <c r="C126" s="102">
        <v>7.0E7</v>
      </c>
      <c r="D126" s="102">
        <v>4.8E7</v>
      </c>
      <c r="E126" s="102">
        <v>4.8E7</v>
      </c>
      <c r="F126" s="102">
        <f t="shared" si="7"/>
        <v>22000000</v>
      </c>
      <c r="G126" s="23" t="s">
        <v>15</v>
      </c>
      <c r="H126" s="25" t="s">
        <v>19</v>
      </c>
      <c r="I126" s="29">
        <f t="shared" si="2"/>
        <v>0.3142857143</v>
      </c>
      <c r="J126" s="63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22.5" customHeight="1">
      <c r="A127" s="63" t="s">
        <v>592</v>
      </c>
      <c r="B127" s="115" t="s">
        <v>588</v>
      </c>
      <c r="C127" s="102">
        <v>2.0E7</v>
      </c>
      <c r="D127" s="102">
        <v>2.0E7</v>
      </c>
      <c r="E127" s="102">
        <v>1.8E7</v>
      </c>
      <c r="F127" s="102">
        <f t="shared" si="7"/>
        <v>2000000</v>
      </c>
      <c r="G127" s="117" t="s">
        <v>15</v>
      </c>
      <c r="H127" s="25" t="s">
        <v>19</v>
      </c>
      <c r="I127" s="29">
        <f t="shared" si="2"/>
        <v>0.1</v>
      </c>
      <c r="J127" s="63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22.5" customHeight="1">
      <c r="A128" s="63" t="s">
        <v>597</v>
      </c>
      <c r="B128" s="115" t="s">
        <v>598</v>
      </c>
      <c r="C128" s="102">
        <v>5.5E7</v>
      </c>
      <c r="D128" s="102">
        <v>5.2E7</v>
      </c>
      <c r="E128" s="102">
        <v>5.0E7</v>
      </c>
      <c r="F128" s="102">
        <f t="shared" si="7"/>
        <v>5000000</v>
      </c>
      <c r="G128" s="23" t="s">
        <v>15</v>
      </c>
      <c r="H128" s="25" t="s">
        <v>19</v>
      </c>
      <c r="I128" s="29">
        <f t="shared" si="2"/>
        <v>0.09090909091</v>
      </c>
      <c r="J128" s="63" t="s">
        <v>602</v>
      </c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22.5" customHeight="1">
      <c r="A129" s="63" t="s">
        <v>604</v>
      </c>
      <c r="B129" s="115" t="s">
        <v>598</v>
      </c>
      <c r="C129" s="102">
        <v>5.0E7</v>
      </c>
      <c r="D129" s="102">
        <v>3.7E7</v>
      </c>
      <c r="E129" s="102">
        <v>4.5E7</v>
      </c>
      <c r="F129" s="102">
        <f t="shared" si="7"/>
        <v>5000000</v>
      </c>
      <c r="G129" s="23" t="s">
        <v>15</v>
      </c>
      <c r="H129" s="25" t="s">
        <v>19</v>
      </c>
      <c r="I129" s="29">
        <f t="shared" si="2"/>
        <v>0.1</v>
      </c>
      <c r="J129" s="63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22.5" customHeight="1">
      <c r="A130" s="63" t="s">
        <v>608</v>
      </c>
      <c r="B130" s="115" t="s">
        <v>598</v>
      </c>
      <c r="C130" s="102">
        <v>5.0E7</v>
      </c>
      <c r="D130" s="102">
        <v>3.4E7</v>
      </c>
      <c r="E130" s="102">
        <v>3.8E7</v>
      </c>
      <c r="F130" s="102">
        <f t="shared" si="7"/>
        <v>12000000</v>
      </c>
      <c r="G130" s="23" t="s">
        <v>38</v>
      </c>
      <c r="H130" s="25" t="s">
        <v>19</v>
      </c>
      <c r="I130" s="29">
        <f t="shared" si="2"/>
        <v>0.24</v>
      </c>
      <c r="J130" s="63" t="s">
        <v>611</v>
      </c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22.5" customHeight="1">
      <c r="A131" s="63" t="s">
        <v>616</v>
      </c>
      <c r="B131" s="115" t="s">
        <v>598</v>
      </c>
      <c r="C131" s="102">
        <v>5.0E7</v>
      </c>
      <c r="D131" s="102">
        <v>3.5E7</v>
      </c>
      <c r="E131" s="102">
        <v>3.85E7</v>
      </c>
      <c r="F131" s="102">
        <f t="shared" si="7"/>
        <v>11500000</v>
      </c>
      <c r="G131" s="23" t="s">
        <v>15</v>
      </c>
      <c r="H131" s="25" t="s">
        <v>19</v>
      </c>
      <c r="I131" s="29">
        <f t="shared" si="2"/>
        <v>0.23</v>
      </c>
      <c r="J131" s="63" t="s">
        <v>617</v>
      </c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22.5" customHeight="1">
      <c r="A132" s="63" t="s">
        <v>620</v>
      </c>
      <c r="B132" s="115" t="s">
        <v>598</v>
      </c>
      <c r="C132" s="102">
        <v>7.0E7</v>
      </c>
      <c r="D132" s="102">
        <v>5.0E7</v>
      </c>
      <c r="E132" s="102">
        <v>6.8E7</v>
      </c>
      <c r="F132" s="102">
        <f t="shared" si="7"/>
        <v>2000000</v>
      </c>
      <c r="G132" s="23" t="s">
        <v>24</v>
      </c>
      <c r="H132" s="25" t="s">
        <v>19</v>
      </c>
      <c r="I132" s="29">
        <f t="shared" si="2"/>
        <v>0.02857142857</v>
      </c>
      <c r="J132" s="63" t="s">
        <v>622</v>
      </c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22.5" customHeight="1">
      <c r="A133" s="63" t="s">
        <v>626</v>
      </c>
      <c r="B133" s="115" t="s">
        <v>598</v>
      </c>
      <c r="C133" s="102">
        <v>5.0E7</v>
      </c>
      <c r="D133" s="102">
        <v>3.3E7</v>
      </c>
      <c r="E133" s="102">
        <v>5.0E7</v>
      </c>
      <c r="F133" s="102">
        <v>0.0</v>
      </c>
      <c r="G133" s="23" t="s">
        <v>24</v>
      </c>
      <c r="H133" s="25" t="s">
        <v>19</v>
      </c>
      <c r="I133" s="29">
        <f t="shared" si="2"/>
        <v>0</v>
      </c>
      <c r="J133" s="63" t="s">
        <v>629</v>
      </c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22.5" customHeight="1">
      <c r="A134" s="63" t="s">
        <v>631</v>
      </c>
      <c r="B134" s="115" t="s">
        <v>598</v>
      </c>
      <c r="C134" s="102">
        <v>1.6E7</v>
      </c>
      <c r="D134" s="102">
        <v>1.0E7</v>
      </c>
      <c r="E134" s="102">
        <v>1.2E7</v>
      </c>
      <c r="F134" s="102">
        <f t="shared" ref="F134:F136" si="8">C134-E134</f>
        <v>4000000</v>
      </c>
      <c r="G134" s="23" t="s">
        <v>15</v>
      </c>
      <c r="H134" s="25" t="s">
        <v>19</v>
      </c>
      <c r="I134" s="29">
        <f t="shared" si="2"/>
        <v>0.25</v>
      </c>
      <c r="J134" s="63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22.5" customHeight="1">
      <c r="A135" s="63" t="s">
        <v>638</v>
      </c>
      <c r="B135" s="115" t="s">
        <v>598</v>
      </c>
      <c r="C135" s="102">
        <v>7.5E7</v>
      </c>
      <c r="D135" s="102">
        <v>4.8E7</v>
      </c>
      <c r="E135" s="102">
        <v>5.0E7</v>
      </c>
      <c r="F135" s="102">
        <f t="shared" si="8"/>
        <v>25000000</v>
      </c>
      <c r="G135" s="23" t="s">
        <v>15</v>
      </c>
      <c r="H135" s="25" t="s">
        <v>19</v>
      </c>
      <c r="I135" s="29">
        <f t="shared" si="2"/>
        <v>0.3333333333</v>
      </c>
      <c r="J135" s="63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22.5" customHeight="1">
      <c r="A136" s="63" t="s">
        <v>642</v>
      </c>
      <c r="B136" s="115" t="s">
        <v>598</v>
      </c>
      <c r="C136" s="102">
        <v>2.0E7</v>
      </c>
      <c r="D136" s="102">
        <v>1.3E7</v>
      </c>
      <c r="E136" s="102">
        <v>1.5E7</v>
      </c>
      <c r="F136" s="102">
        <f t="shared" si="8"/>
        <v>5000000</v>
      </c>
      <c r="G136" s="23" t="s">
        <v>15</v>
      </c>
      <c r="H136" s="25" t="s">
        <v>19</v>
      </c>
      <c r="I136" s="29">
        <f t="shared" si="2"/>
        <v>0.25</v>
      </c>
      <c r="J136" s="63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22.5" customHeight="1">
      <c r="A137" s="63" t="s">
        <v>645</v>
      </c>
      <c r="B137" s="115" t="s">
        <v>598</v>
      </c>
      <c r="C137" s="102">
        <v>3.5E7</v>
      </c>
      <c r="D137" s="102"/>
      <c r="E137" s="102"/>
      <c r="F137" s="102">
        <v>0.0</v>
      </c>
      <c r="G137" s="23" t="s">
        <v>24</v>
      </c>
      <c r="H137" s="25" t="s">
        <v>19</v>
      </c>
      <c r="I137" s="29">
        <f t="shared" si="2"/>
        <v>0</v>
      </c>
      <c r="J137" s="63" t="s">
        <v>649</v>
      </c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22.5" customHeight="1">
      <c r="A138" s="63" t="s">
        <v>651</v>
      </c>
      <c r="B138" s="115" t="s">
        <v>598</v>
      </c>
      <c r="C138" s="102">
        <v>1.0E7</v>
      </c>
      <c r="D138" s="102">
        <v>5000000.0</v>
      </c>
      <c r="E138" s="102">
        <v>7000000.0</v>
      </c>
      <c r="F138" s="102">
        <f t="shared" ref="F138:F141" si="9">C138-E138</f>
        <v>3000000</v>
      </c>
      <c r="G138" s="23" t="s">
        <v>15</v>
      </c>
      <c r="H138" s="25" t="s">
        <v>19</v>
      </c>
      <c r="I138" s="29">
        <f t="shared" si="2"/>
        <v>0.3</v>
      </c>
      <c r="J138" s="63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22.5" customHeight="1">
      <c r="A139" s="63" t="s">
        <v>657</v>
      </c>
      <c r="B139" s="115" t="s">
        <v>659</v>
      </c>
      <c r="C139" s="102">
        <v>1.25E8</v>
      </c>
      <c r="D139" s="102">
        <v>8.0E7</v>
      </c>
      <c r="E139" s="102">
        <v>1.0E8</v>
      </c>
      <c r="F139" s="102">
        <f t="shared" si="9"/>
        <v>25000000</v>
      </c>
      <c r="G139" s="23" t="s">
        <v>15</v>
      </c>
      <c r="H139" s="25" t="s">
        <v>19</v>
      </c>
      <c r="I139" s="29">
        <f t="shared" si="2"/>
        <v>0.2</v>
      </c>
      <c r="J139" s="63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22.5" customHeight="1">
      <c r="A140" s="63" t="s">
        <v>665</v>
      </c>
      <c r="B140" s="115" t="s">
        <v>659</v>
      </c>
      <c r="C140" s="102">
        <v>5.5E7</v>
      </c>
      <c r="D140" s="102">
        <v>4.4E7</v>
      </c>
      <c r="E140" s="102">
        <v>4.6E7</v>
      </c>
      <c r="F140" s="102">
        <f t="shared" si="9"/>
        <v>9000000</v>
      </c>
      <c r="G140" s="23" t="s">
        <v>15</v>
      </c>
      <c r="H140" s="25" t="s">
        <v>19</v>
      </c>
      <c r="I140" s="29">
        <f t="shared" si="2"/>
        <v>0.1636363636</v>
      </c>
      <c r="J140" s="63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22.5" customHeight="1">
      <c r="A141" s="63" t="s">
        <v>670</v>
      </c>
      <c r="B141" s="115" t="s">
        <v>659</v>
      </c>
      <c r="C141" s="102">
        <v>6.0E7</v>
      </c>
      <c r="D141" s="102">
        <v>4.8E7</v>
      </c>
      <c r="E141" s="102">
        <v>5.0E7</v>
      </c>
      <c r="F141" s="102">
        <f t="shared" si="9"/>
        <v>10000000</v>
      </c>
      <c r="G141" s="23" t="s">
        <v>15</v>
      </c>
      <c r="H141" s="25" t="s">
        <v>19</v>
      </c>
      <c r="I141" s="29">
        <f t="shared" si="2"/>
        <v>0.1666666667</v>
      </c>
      <c r="J141" s="63" t="s">
        <v>677</v>
      </c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22.5" customHeight="1">
      <c r="A142" s="63" t="s">
        <v>678</v>
      </c>
      <c r="B142" s="115" t="s">
        <v>659</v>
      </c>
      <c r="C142" s="102">
        <v>8.5E7</v>
      </c>
      <c r="D142" s="102"/>
      <c r="E142" s="102"/>
      <c r="F142" s="102">
        <v>0.0</v>
      </c>
      <c r="G142" s="23" t="s">
        <v>24</v>
      </c>
      <c r="H142" s="25" t="s">
        <v>19</v>
      </c>
      <c r="I142" s="29">
        <f t="shared" si="2"/>
        <v>0</v>
      </c>
      <c r="J142" s="63" t="s">
        <v>684</v>
      </c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22.5" customHeight="1">
      <c r="A143" s="63" t="s">
        <v>686</v>
      </c>
      <c r="B143" s="115" t="s">
        <v>659</v>
      </c>
      <c r="C143" s="102">
        <v>6.0E7</v>
      </c>
      <c r="D143" s="102">
        <v>3.8E7</v>
      </c>
      <c r="E143" s="102">
        <v>5.2E7</v>
      </c>
      <c r="F143" s="102">
        <f t="shared" ref="F143:F198" si="10">C143-E143</f>
        <v>8000000</v>
      </c>
      <c r="G143" s="23" t="s">
        <v>15</v>
      </c>
      <c r="H143" s="25" t="s">
        <v>19</v>
      </c>
      <c r="I143" s="29">
        <f t="shared" si="2"/>
        <v>0.1333333333</v>
      </c>
      <c r="J143" s="63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22.5" customHeight="1">
      <c r="A144" s="63" t="s">
        <v>690</v>
      </c>
      <c r="B144" s="115" t="s">
        <v>659</v>
      </c>
      <c r="C144" s="102">
        <v>5.5E7</v>
      </c>
      <c r="D144" s="102">
        <v>3.5E7</v>
      </c>
      <c r="E144" s="102">
        <v>5.0E7</v>
      </c>
      <c r="F144" s="102">
        <f t="shared" si="10"/>
        <v>5000000</v>
      </c>
      <c r="G144" s="23" t="s">
        <v>15</v>
      </c>
      <c r="H144" s="25" t="s">
        <v>19</v>
      </c>
      <c r="I144" s="29">
        <f t="shared" si="2"/>
        <v>0.09090909091</v>
      </c>
      <c r="J144" s="63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22.5" customHeight="1">
      <c r="A145" s="63" t="s">
        <v>696</v>
      </c>
      <c r="B145" s="115" t="s">
        <v>659</v>
      </c>
      <c r="C145" s="102">
        <v>5.0E7</v>
      </c>
      <c r="D145" s="102">
        <v>3.5E7</v>
      </c>
      <c r="E145" s="102">
        <v>3.8E7</v>
      </c>
      <c r="F145" s="102">
        <f t="shared" si="10"/>
        <v>12000000</v>
      </c>
      <c r="G145" s="23" t="s">
        <v>15</v>
      </c>
      <c r="H145" s="25" t="s">
        <v>19</v>
      </c>
      <c r="I145" s="29">
        <f t="shared" si="2"/>
        <v>0.24</v>
      </c>
      <c r="J145" s="63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22.5" customHeight="1">
      <c r="A146" s="63" t="s">
        <v>700</v>
      </c>
      <c r="B146" s="115" t="s">
        <v>659</v>
      </c>
      <c r="C146" s="102">
        <v>6.0E7</v>
      </c>
      <c r="D146" s="102">
        <v>3.8E7</v>
      </c>
      <c r="E146" s="102">
        <v>5.9E7</v>
      </c>
      <c r="F146" s="102">
        <f t="shared" si="10"/>
        <v>1000000</v>
      </c>
      <c r="G146" s="23" t="s">
        <v>24</v>
      </c>
      <c r="H146" s="25" t="s">
        <v>19</v>
      </c>
      <c r="I146" s="29">
        <f t="shared" si="2"/>
        <v>0.01666666667</v>
      </c>
      <c r="J146" s="63" t="s">
        <v>702</v>
      </c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22.5" customHeight="1">
      <c r="A147" s="63" t="s">
        <v>704</v>
      </c>
      <c r="B147" s="115" t="s">
        <v>705</v>
      </c>
      <c r="C147" s="102">
        <v>4.5E7</v>
      </c>
      <c r="D147" s="102">
        <v>3.0E7</v>
      </c>
      <c r="E147" s="102">
        <v>3.5E7</v>
      </c>
      <c r="F147" s="102">
        <f t="shared" si="10"/>
        <v>10000000</v>
      </c>
      <c r="G147" s="23" t="s">
        <v>15</v>
      </c>
      <c r="H147" s="25" t="s">
        <v>19</v>
      </c>
      <c r="I147" s="29">
        <f t="shared" si="2"/>
        <v>0.2222222222</v>
      </c>
      <c r="J147" s="63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22.5" customHeight="1">
      <c r="A148" s="63" t="s">
        <v>708</v>
      </c>
      <c r="B148" s="115" t="s">
        <v>705</v>
      </c>
      <c r="C148" s="125">
        <v>8.0E7</v>
      </c>
      <c r="D148" s="125">
        <v>5.8E7</v>
      </c>
      <c r="E148" s="125">
        <v>6.8E7</v>
      </c>
      <c r="F148" s="102">
        <f t="shared" si="10"/>
        <v>12000000</v>
      </c>
      <c r="G148" s="23" t="s">
        <v>15</v>
      </c>
      <c r="H148" s="25" t="s">
        <v>19</v>
      </c>
      <c r="I148" s="29">
        <f t="shared" si="2"/>
        <v>0.15</v>
      </c>
      <c r="J148" s="126" t="s">
        <v>711</v>
      </c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22.5" customHeight="1">
      <c r="A149" s="126" t="s">
        <v>712</v>
      </c>
      <c r="B149" s="115" t="s">
        <v>705</v>
      </c>
      <c r="C149" s="125">
        <v>1.65E8</v>
      </c>
      <c r="D149" s="125">
        <v>9.8E7</v>
      </c>
      <c r="E149" s="125">
        <v>1.0E8</v>
      </c>
      <c r="F149" s="102">
        <f t="shared" si="10"/>
        <v>65000000</v>
      </c>
      <c r="G149" s="23" t="s">
        <v>15</v>
      </c>
      <c r="H149" s="25" t="s">
        <v>19</v>
      </c>
      <c r="I149" s="29">
        <f t="shared" si="2"/>
        <v>0.3939393939</v>
      </c>
      <c r="J149" s="126" t="s">
        <v>714</v>
      </c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22.5" customHeight="1">
      <c r="A150" s="127" t="s">
        <v>717</v>
      </c>
      <c r="B150" s="128">
        <v>46178.0</v>
      </c>
      <c r="C150" s="129">
        <v>3.8E7</v>
      </c>
      <c r="D150" s="129">
        <v>3.0E7</v>
      </c>
      <c r="E150" s="129">
        <v>3.8E7</v>
      </c>
      <c r="F150" s="130">
        <f t="shared" si="10"/>
        <v>0</v>
      </c>
      <c r="G150" s="23" t="s">
        <v>24</v>
      </c>
      <c r="H150" s="12" t="s">
        <v>19</v>
      </c>
      <c r="I150" s="29">
        <f t="shared" si="2"/>
        <v>0</v>
      </c>
      <c r="J150" s="126" t="s">
        <v>719</v>
      </c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22.5" customHeight="1">
      <c r="A151" s="131" t="s">
        <v>720</v>
      </c>
      <c r="B151" s="128">
        <v>46178.0</v>
      </c>
      <c r="C151" s="129">
        <v>3.0E7</v>
      </c>
      <c r="D151" s="129">
        <v>2.3E7</v>
      </c>
      <c r="E151" s="129">
        <v>2.5E7</v>
      </c>
      <c r="F151" s="130">
        <f t="shared" si="10"/>
        <v>5000000</v>
      </c>
      <c r="G151" s="23" t="s">
        <v>15</v>
      </c>
      <c r="H151" s="25" t="s">
        <v>19</v>
      </c>
      <c r="I151" s="29">
        <f t="shared" si="2"/>
        <v>0.1666666667</v>
      </c>
      <c r="J151" s="126" t="s">
        <v>725</v>
      </c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22.5" customHeight="1">
      <c r="A152" s="127" t="s">
        <v>727</v>
      </c>
      <c r="B152" s="128">
        <v>46178.0</v>
      </c>
      <c r="C152" s="129">
        <v>5.0E7</v>
      </c>
      <c r="D152" s="129">
        <v>3.5E7</v>
      </c>
      <c r="E152" s="129">
        <v>3.9E7</v>
      </c>
      <c r="F152" s="130">
        <f t="shared" si="10"/>
        <v>11000000</v>
      </c>
      <c r="G152" s="23" t="s">
        <v>15</v>
      </c>
      <c r="H152" s="25" t="s">
        <v>19</v>
      </c>
      <c r="I152" s="29">
        <f t="shared" si="2"/>
        <v>0.22</v>
      </c>
      <c r="J152" s="132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22.5" customHeight="1">
      <c r="A153" s="127" t="s">
        <v>730</v>
      </c>
      <c r="B153" s="128">
        <v>46178.0</v>
      </c>
      <c r="C153" s="129">
        <v>7.0E7</v>
      </c>
      <c r="D153" s="129">
        <v>5.0E7</v>
      </c>
      <c r="E153" s="129">
        <v>7.0E7</v>
      </c>
      <c r="F153" s="130">
        <f t="shared" si="10"/>
        <v>0</v>
      </c>
      <c r="G153" s="23" t="s">
        <v>24</v>
      </c>
      <c r="H153" s="25" t="s">
        <v>19</v>
      </c>
      <c r="I153" s="29">
        <f t="shared" si="2"/>
        <v>0</v>
      </c>
      <c r="J153" s="126" t="s">
        <v>732</v>
      </c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22.5" customHeight="1">
      <c r="A154" s="127" t="s">
        <v>734</v>
      </c>
      <c r="B154" s="128">
        <v>46178.0</v>
      </c>
      <c r="C154" s="129">
        <v>6.0E7</v>
      </c>
      <c r="D154" s="129">
        <v>4.0E7</v>
      </c>
      <c r="E154" s="129">
        <v>6.0E7</v>
      </c>
      <c r="F154" s="130">
        <f t="shared" si="10"/>
        <v>0</v>
      </c>
      <c r="G154" s="23" t="s">
        <v>24</v>
      </c>
      <c r="H154" s="25" t="s">
        <v>19</v>
      </c>
      <c r="I154" s="29">
        <f t="shared" si="2"/>
        <v>0</v>
      </c>
      <c r="J154" s="126" t="s">
        <v>737</v>
      </c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22.5" customHeight="1">
      <c r="A155" s="127" t="s">
        <v>739</v>
      </c>
      <c r="B155" s="128">
        <v>46178.0</v>
      </c>
      <c r="C155" s="129">
        <v>1.0E8</v>
      </c>
      <c r="D155" s="129">
        <v>6.5E7</v>
      </c>
      <c r="E155" s="129">
        <v>1.0E8</v>
      </c>
      <c r="F155" s="130">
        <f t="shared" si="10"/>
        <v>0</v>
      </c>
      <c r="G155" s="23" t="s">
        <v>24</v>
      </c>
      <c r="H155" s="25" t="s">
        <v>19</v>
      </c>
      <c r="I155" s="29">
        <f t="shared" si="2"/>
        <v>0</v>
      </c>
      <c r="J155" s="126" t="s">
        <v>555</v>
      </c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22.5" customHeight="1">
      <c r="A156" s="133" t="s">
        <v>744</v>
      </c>
      <c r="B156" s="128">
        <v>46239.0</v>
      </c>
      <c r="C156" s="129">
        <v>9.5E7</v>
      </c>
      <c r="D156" s="129">
        <v>6.8E7</v>
      </c>
      <c r="E156" s="129">
        <v>7.5E7</v>
      </c>
      <c r="F156" s="130">
        <f t="shared" si="10"/>
        <v>20000000</v>
      </c>
      <c r="G156" s="23" t="s">
        <v>15</v>
      </c>
      <c r="H156" s="25" t="s">
        <v>19</v>
      </c>
      <c r="I156" s="29">
        <f t="shared" si="2"/>
        <v>0.2105263158</v>
      </c>
      <c r="J156" s="126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22.5" customHeight="1">
      <c r="A157" s="127" t="s">
        <v>747</v>
      </c>
      <c r="B157" s="128">
        <v>46239.0</v>
      </c>
      <c r="C157" s="129">
        <v>9.5E7</v>
      </c>
      <c r="D157" s="129">
        <v>6.3E7</v>
      </c>
      <c r="E157" s="129">
        <v>8.5E7</v>
      </c>
      <c r="F157" s="130">
        <f t="shared" si="10"/>
        <v>10000000</v>
      </c>
      <c r="G157" s="23" t="s">
        <v>24</v>
      </c>
      <c r="H157" s="25" t="s">
        <v>19</v>
      </c>
      <c r="I157" s="29">
        <f t="shared" si="2"/>
        <v>0.1052631579</v>
      </c>
      <c r="J157" s="126" t="s">
        <v>555</v>
      </c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22.5" customHeight="1">
      <c r="A158" s="127" t="s">
        <v>750</v>
      </c>
      <c r="B158" s="128">
        <v>46239.0</v>
      </c>
      <c r="C158" s="129">
        <v>1.0E8</v>
      </c>
      <c r="D158" s="129">
        <v>7.0E7</v>
      </c>
      <c r="E158" s="129">
        <v>7.5E7</v>
      </c>
      <c r="F158" s="130">
        <f t="shared" si="10"/>
        <v>25000000</v>
      </c>
      <c r="G158" s="23" t="s">
        <v>15</v>
      </c>
      <c r="H158" s="25" t="s">
        <v>19</v>
      </c>
      <c r="I158" s="29">
        <f t="shared" si="2"/>
        <v>0.25</v>
      </c>
      <c r="J158" s="132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22.5" customHeight="1">
      <c r="A159" s="127" t="s">
        <v>754</v>
      </c>
      <c r="B159" s="128">
        <v>46239.0</v>
      </c>
      <c r="C159" s="129">
        <v>2.5E7</v>
      </c>
      <c r="D159" s="129">
        <v>2.0E7</v>
      </c>
      <c r="E159" s="129">
        <v>2.3E7</v>
      </c>
      <c r="F159" s="130">
        <f t="shared" si="10"/>
        <v>2000000</v>
      </c>
      <c r="G159" s="23" t="s">
        <v>15</v>
      </c>
      <c r="H159" s="25" t="s">
        <v>19</v>
      </c>
      <c r="I159" s="29">
        <f t="shared" si="2"/>
        <v>0.08</v>
      </c>
      <c r="J159" s="126" t="s">
        <v>490</v>
      </c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22.5" customHeight="1">
      <c r="A160" s="133" t="s">
        <v>757</v>
      </c>
      <c r="B160" s="128">
        <v>46239.0</v>
      </c>
      <c r="C160" s="129">
        <v>1.75E7</v>
      </c>
      <c r="D160" s="129">
        <v>1.2E7</v>
      </c>
      <c r="E160" s="129">
        <v>1.5E7</v>
      </c>
      <c r="F160" s="130">
        <f t="shared" si="10"/>
        <v>2500000</v>
      </c>
      <c r="G160" s="23" t="s">
        <v>15</v>
      </c>
      <c r="H160" s="25" t="s">
        <v>19</v>
      </c>
      <c r="I160" s="29">
        <f t="shared" si="2"/>
        <v>0.1428571429</v>
      </c>
      <c r="J160" s="126" t="s">
        <v>759</v>
      </c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22.5" customHeight="1">
      <c r="A161" s="133" t="s">
        <v>761</v>
      </c>
      <c r="B161" s="128">
        <v>46239.0</v>
      </c>
      <c r="C161" s="129">
        <v>3.5E7</v>
      </c>
      <c r="D161" s="129">
        <v>2.6E7</v>
      </c>
      <c r="E161" s="129">
        <v>2.8E7</v>
      </c>
      <c r="F161" s="130">
        <f t="shared" si="10"/>
        <v>7000000</v>
      </c>
      <c r="G161" s="23" t="s">
        <v>15</v>
      </c>
      <c r="H161" s="25" t="s">
        <v>19</v>
      </c>
      <c r="I161" s="29">
        <f t="shared" si="2"/>
        <v>0.2</v>
      </c>
      <c r="J161" s="132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22.5" customHeight="1">
      <c r="A162" s="133" t="s">
        <v>765</v>
      </c>
      <c r="B162" s="128">
        <v>46239.0</v>
      </c>
      <c r="C162" s="129">
        <v>2.5E7</v>
      </c>
      <c r="D162" s="129">
        <v>1.8E7</v>
      </c>
      <c r="E162" s="129">
        <v>1.8E7</v>
      </c>
      <c r="F162" s="130">
        <f t="shared" si="10"/>
        <v>7000000</v>
      </c>
      <c r="G162" s="23" t="s">
        <v>15</v>
      </c>
      <c r="H162" s="25" t="s">
        <v>19</v>
      </c>
      <c r="I162" s="29">
        <f t="shared" si="2"/>
        <v>0.28</v>
      </c>
      <c r="J162" s="126" t="s">
        <v>767</v>
      </c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22.5" customHeight="1">
      <c r="A163" s="133" t="s">
        <v>770</v>
      </c>
      <c r="B163" s="128">
        <v>46239.0</v>
      </c>
      <c r="C163" s="129">
        <v>1.0E8</v>
      </c>
      <c r="D163" s="129">
        <v>6.5E7</v>
      </c>
      <c r="E163" s="129">
        <v>7.5E7</v>
      </c>
      <c r="F163" s="130">
        <f t="shared" si="10"/>
        <v>25000000</v>
      </c>
      <c r="G163" s="23" t="s">
        <v>15</v>
      </c>
      <c r="H163" s="25" t="s">
        <v>19</v>
      </c>
      <c r="I163" s="29">
        <f t="shared" si="2"/>
        <v>0.25</v>
      </c>
      <c r="J163" s="126" t="s">
        <v>759</v>
      </c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22.5" customHeight="1">
      <c r="A164" s="133" t="s">
        <v>774</v>
      </c>
      <c r="B164" s="128">
        <v>46239.0</v>
      </c>
      <c r="C164" s="129">
        <v>5.0E7</v>
      </c>
      <c r="D164" s="129">
        <v>4.0E7</v>
      </c>
      <c r="E164" s="129">
        <v>4.0E7</v>
      </c>
      <c r="F164" s="130">
        <f t="shared" si="10"/>
        <v>10000000</v>
      </c>
      <c r="G164" s="23" t="s">
        <v>15</v>
      </c>
      <c r="H164" s="25" t="s">
        <v>19</v>
      </c>
      <c r="I164" s="29">
        <f t="shared" si="2"/>
        <v>0.2</v>
      </c>
      <c r="J164" s="132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22.5" customHeight="1">
      <c r="A165" s="126" t="s">
        <v>777</v>
      </c>
      <c r="B165" s="137" t="s">
        <v>778</v>
      </c>
      <c r="C165" s="125">
        <v>8.0E7</v>
      </c>
      <c r="D165" s="125">
        <v>5.8E7</v>
      </c>
      <c r="E165" s="125">
        <v>7.5E7</v>
      </c>
      <c r="F165" s="138">
        <f t="shared" si="10"/>
        <v>5000000</v>
      </c>
      <c r="G165" s="23" t="s">
        <v>38</v>
      </c>
      <c r="H165" s="25" t="s">
        <v>19</v>
      </c>
      <c r="I165" s="29">
        <f t="shared" si="2"/>
        <v>0.0625</v>
      </c>
      <c r="J165" s="132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22.5" customHeight="1">
      <c r="A166" s="126" t="s">
        <v>781</v>
      </c>
      <c r="B166" s="137" t="s">
        <v>778</v>
      </c>
      <c r="C166" s="125">
        <v>6.5E7</v>
      </c>
      <c r="D166" s="125">
        <v>4.2E7</v>
      </c>
      <c r="E166" s="125">
        <v>5.5E7</v>
      </c>
      <c r="F166" s="138">
        <f t="shared" si="10"/>
        <v>10000000</v>
      </c>
      <c r="G166" s="23" t="s">
        <v>15</v>
      </c>
      <c r="H166" s="25" t="s">
        <v>19</v>
      </c>
      <c r="I166" s="29">
        <f t="shared" si="2"/>
        <v>0.1538461538</v>
      </c>
      <c r="J166" s="126" t="s">
        <v>783</v>
      </c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22.5" customHeight="1">
      <c r="A167" s="126" t="s">
        <v>784</v>
      </c>
      <c r="B167" s="137" t="s">
        <v>778</v>
      </c>
      <c r="C167" s="125">
        <v>1.15E8</v>
      </c>
      <c r="D167" s="125">
        <v>7.3E7</v>
      </c>
      <c r="E167" s="125">
        <v>1.0E8</v>
      </c>
      <c r="F167" s="138">
        <f t="shared" si="10"/>
        <v>15000000</v>
      </c>
      <c r="G167" s="23" t="s">
        <v>24</v>
      </c>
      <c r="H167" s="25" t="s">
        <v>19</v>
      </c>
      <c r="I167" s="29">
        <f t="shared" si="2"/>
        <v>0.1304347826</v>
      </c>
      <c r="J167" s="126" t="s">
        <v>787</v>
      </c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22.5" customHeight="1">
      <c r="A168" s="126" t="s">
        <v>788</v>
      </c>
      <c r="B168" s="137" t="s">
        <v>778</v>
      </c>
      <c r="C168" s="125">
        <v>2.5E7</v>
      </c>
      <c r="D168" s="125">
        <v>2.0E7</v>
      </c>
      <c r="E168" s="125">
        <v>2.5E7</v>
      </c>
      <c r="F168" s="138">
        <f t="shared" si="10"/>
        <v>0</v>
      </c>
      <c r="G168" s="23" t="s">
        <v>15</v>
      </c>
      <c r="H168" s="25" t="s">
        <v>19</v>
      </c>
      <c r="I168" s="29">
        <f t="shared" si="2"/>
        <v>0</v>
      </c>
      <c r="J168" s="132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22.5" customHeight="1">
      <c r="A169" s="126" t="s">
        <v>791</v>
      </c>
      <c r="B169" s="137" t="s">
        <v>792</v>
      </c>
      <c r="C169" s="125">
        <v>5.5E7</v>
      </c>
      <c r="D169" s="138"/>
      <c r="E169" s="138"/>
      <c r="F169" s="138">
        <f t="shared" si="10"/>
        <v>55000000</v>
      </c>
      <c r="G169" s="23" t="s">
        <v>38</v>
      </c>
      <c r="H169" s="25" t="s">
        <v>19</v>
      </c>
      <c r="I169" s="29">
        <f t="shared" si="2"/>
        <v>1</v>
      </c>
      <c r="J169" s="126" t="s">
        <v>794</v>
      </c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22.5" customHeight="1">
      <c r="A170" s="126" t="s">
        <v>796</v>
      </c>
      <c r="B170" s="137" t="s">
        <v>792</v>
      </c>
      <c r="C170" s="125">
        <v>5.5E7</v>
      </c>
      <c r="D170" s="125">
        <v>4.5E7</v>
      </c>
      <c r="E170" s="125">
        <v>4.5E7</v>
      </c>
      <c r="F170" s="138">
        <f t="shared" si="10"/>
        <v>10000000</v>
      </c>
      <c r="G170" s="23" t="s">
        <v>15</v>
      </c>
      <c r="H170" s="25" t="s">
        <v>19</v>
      </c>
      <c r="I170" s="29">
        <f t="shared" si="2"/>
        <v>0.1818181818</v>
      </c>
      <c r="J170" s="132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22.5" customHeight="1">
      <c r="A171" s="126" t="s">
        <v>798</v>
      </c>
      <c r="B171" s="137" t="s">
        <v>799</v>
      </c>
      <c r="C171" s="125">
        <v>2.0E7</v>
      </c>
      <c r="D171" s="125">
        <v>1.2E7</v>
      </c>
      <c r="E171" s="125">
        <v>1.4E7</v>
      </c>
      <c r="F171" s="138">
        <f t="shared" si="10"/>
        <v>6000000</v>
      </c>
      <c r="G171" s="23" t="s">
        <v>15</v>
      </c>
      <c r="H171" s="25" t="s">
        <v>19</v>
      </c>
      <c r="I171" s="29">
        <f t="shared" si="2"/>
        <v>0.3</v>
      </c>
      <c r="J171" s="132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22.5" customHeight="1">
      <c r="A172" s="126" t="s">
        <v>802</v>
      </c>
      <c r="B172" s="137" t="s">
        <v>799</v>
      </c>
      <c r="C172" s="125">
        <v>6.5E7</v>
      </c>
      <c r="D172" s="125">
        <v>4.8E7</v>
      </c>
      <c r="E172" s="125">
        <v>5.0E7</v>
      </c>
      <c r="F172" s="138">
        <f t="shared" si="10"/>
        <v>15000000</v>
      </c>
      <c r="G172" s="23" t="s">
        <v>15</v>
      </c>
      <c r="H172" s="25" t="s">
        <v>19</v>
      </c>
      <c r="I172" s="29">
        <f t="shared" si="2"/>
        <v>0.2307692308</v>
      </c>
      <c r="J172" s="132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22.5" customHeight="1">
      <c r="A173" s="126" t="s">
        <v>806</v>
      </c>
      <c r="B173" s="137" t="s">
        <v>799</v>
      </c>
      <c r="C173" s="125">
        <v>3.0E7</v>
      </c>
      <c r="D173" s="125">
        <v>2.0E7</v>
      </c>
      <c r="E173" s="125">
        <v>3.0E7</v>
      </c>
      <c r="F173" s="138">
        <f t="shared" si="10"/>
        <v>0</v>
      </c>
      <c r="G173" s="23" t="s">
        <v>24</v>
      </c>
      <c r="H173" s="25" t="s">
        <v>19</v>
      </c>
      <c r="I173" s="29">
        <f t="shared" si="2"/>
        <v>0</v>
      </c>
      <c r="J173" s="126" t="s">
        <v>807</v>
      </c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22.5" customHeight="1">
      <c r="A174" s="126" t="s">
        <v>809</v>
      </c>
      <c r="B174" s="137" t="s">
        <v>799</v>
      </c>
      <c r="C174" s="125">
        <v>5.0E7</v>
      </c>
      <c r="D174" s="125">
        <v>4.2E7</v>
      </c>
      <c r="E174" s="125">
        <v>4.2E7</v>
      </c>
      <c r="F174" s="138">
        <f t="shared" si="10"/>
        <v>8000000</v>
      </c>
      <c r="G174" s="23" t="s">
        <v>15</v>
      </c>
      <c r="H174" s="25" t="s">
        <v>19</v>
      </c>
      <c r="I174" s="29">
        <f t="shared" si="2"/>
        <v>0.16</v>
      </c>
      <c r="J174" s="132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22.5" customHeight="1">
      <c r="A175" s="126" t="s">
        <v>811</v>
      </c>
      <c r="B175" s="137" t="s">
        <v>799</v>
      </c>
      <c r="C175" s="125">
        <v>6.5E7</v>
      </c>
      <c r="D175" s="125">
        <v>5.0E7</v>
      </c>
      <c r="E175" s="125">
        <v>5.0E7</v>
      </c>
      <c r="F175" s="138">
        <f t="shared" si="10"/>
        <v>15000000</v>
      </c>
      <c r="G175" s="23" t="s">
        <v>15</v>
      </c>
      <c r="H175" s="25" t="s">
        <v>19</v>
      </c>
      <c r="I175" s="29">
        <f t="shared" si="2"/>
        <v>0.2307692308</v>
      </c>
      <c r="J175" s="132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22.5" customHeight="1">
      <c r="A176" s="126" t="s">
        <v>813</v>
      </c>
      <c r="B176" s="137" t="s">
        <v>799</v>
      </c>
      <c r="C176" s="125">
        <v>4.7E7</v>
      </c>
      <c r="D176" s="125">
        <v>4.0E7</v>
      </c>
      <c r="E176" s="125">
        <v>4.3E7</v>
      </c>
      <c r="F176" s="138">
        <f t="shared" si="10"/>
        <v>4000000</v>
      </c>
      <c r="G176" s="23" t="s">
        <v>15</v>
      </c>
      <c r="H176" s="25" t="s">
        <v>19</v>
      </c>
      <c r="I176" s="29">
        <f t="shared" si="2"/>
        <v>0.08510638298</v>
      </c>
      <c r="J176" s="126" t="s">
        <v>817</v>
      </c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22.5" customHeight="1">
      <c r="A177" s="126" t="s">
        <v>818</v>
      </c>
      <c r="B177" s="137" t="s">
        <v>799</v>
      </c>
      <c r="C177" s="125">
        <v>8.5E7</v>
      </c>
      <c r="D177" s="125">
        <v>6.0E7</v>
      </c>
      <c r="E177" s="125">
        <v>7.0E7</v>
      </c>
      <c r="F177" s="138">
        <f t="shared" si="10"/>
        <v>15000000</v>
      </c>
      <c r="G177" s="23" t="s">
        <v>24</v>
      </c>
      <c r="H177" s="25" t="s">
        <v>19</v>
      </c>
      <c r="I177" s="29">
        <f t="shared" si="2"/>
        <v>0.1764705882</v>
      </c>
      <c r="J177" s="126" t="s">
        <v>555</v>
      </c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22.5" customHeight="1">
      <c r="A178" s="126" t="s">
        <v>822</v>
      </c>
      <c r="B178" s="137" t="s">
        <v>799</v>
      </c>
      <c r="C178" s="125">
        <v>8.0E7</v>
      </c>
      <c r="D178" s="125">
        <v>6.5E7</v>
      </c>
      <c r="E178" s="125">
        <v>6.5E7</v>
      </c>
      <c r="F178" s="138">
        <f t="shared" si="10"/>
        <v>15000000</v>
      </c>
      <c r="G178" s="23" t="s">
        <v>15</v>
      </c>
      <c r="H178" s="25" t="s">
        <v>19</v>
      </c>
      <c r="I178" s="29">
        <f t="shared" si="2"/>
        <v>0.1875</v>
      </c>
      <c r="J178" s="126" t="s">
        <v>824</v>
      </c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22.5" customHeight="1">
      <c r="A179" s="126" t="s">
        <v>826</v>
      </c>
      <c r="B179" s="137" t="s">
        <v>827</v>
      </c>
      <c r="C179" s="125">
        <v>3.75E7</v>
      </c>
      <c r="D179" s="125">
        <v>3.0E7</v>
      </c>
      <c r="E179" s="125">
        <v>3.25E7</v>
      </c>
      <c r="F179" s="138">
        <f t="shared" si="10"/>
        <v>5000000</v>
      </c>
      <c r="G179" s="23" t="s">
        <v>15</v>
      </c>
      <c r="H179" s="25" t="s">
        <v>19</v>
      </c>
      <c r="I179" s="29">
        <f t="shared" si="2"/>
        <v>0.1333333333</v>
      </c>
      <c r="J179" s="132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22.5" customHeight="1">
      <c r="A180" s="126" t="s">
        <v>830</v>
      </c>
      <c r="B180" s="137" t="s">
        <v>827</v>
      </c>
      <c r="C180" s="125">
        <v>6.3E7</v>
      </c>
      <c r="D180" s="138"/>
      <c r="E180" s="125">
        <v>6.3E7</v>
      </c>
      <c r="F180" s="138">
        <f t="shared" si="10"/>
        <v>0</v>
      </c>
      <c r="G180" s="23" t="s">
        <v>24</v>
      </c>
      <c r="H180" s="25" t="s">
        <v>19</v>
      </c>
      <c r="I180" s="29">
        <f t="shared" si="2"/>
        <v>0</v>
      </c>
      <c r="J180" s="126" t="s">
        <v>832</v>
      </c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22.5" customHeight="1">
      <c r="A181" s="126" t="s">
        <v>834</v>
      </c>
      <c r="B181" s="137" t="s">
        <v>827</v>
      </c>
      <c r="C181" s="125">
        <v>7.0E7</v>
      </c>
      <c r="D181" s="125">
        <v>6.0E7</v>
      </c>
      <c r="E181" s="125">
        <v>6.0E7</v>
      </c>
      <c r="F181" s="138">
        <f t="shared" si="10"/>
        <v>10000000</v>
      </c>
      <c r="G181" s="23" t="s">
        <v>15</v>
      </c>
      <c r="H181" s="25" t="s">
        <v>19</v>
      </c>
      <c r="I181" s="29">
        <f t="shared" si="2"/>
        <v>0.1428571429</v>
      </c>
      <c r="J181" s="126" t="s">
        <v>836</v>
      </c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22.5" customHeight="1">
      <c r="A182" s="126" t="s">
        <v>837</v>
      </c>
      <c r="B182" s="137" t="s">
        <v>827</v>
      </c>
      <c r="C182" s="125">
        <v>5.5E7</v>
      </c>
      <c r="D182" s="125">
        <v>4.0E7</v>
      </c>
      <c r="E182" s="125">
        <v>4.5E7</v>
      </c>
      <c r="F182" s="138">
        <f t="shared" si="10"/>
        <v>10000000</v>
      </c>
      <c r="G182" s="23" t="s">
        <v>38</v>
      </c>
      <c r="H182" s="25" t="s">
        <v>19</v>
      </c>
      <c r="I182" s="29">
        <f t="shared" si="2"/>
        <v>0.1818181818</v>
      </c>
      <c r="J182" s="132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22.5" customHeight="1">
      <c r="A183" s="126" t="s">
        <v>841</v>
      </c>
      <c r="B183" s="137" t="s">
        <v>827</v>
      </c>
      <c r="C183" s="125">
        <v>7.5E7</v>
      </c>
      <c r="D183" s="138"/>
      <c r="E183" s="125">
        <v>7.5E7</v>
      </c>
      <c r="F183" s="138">
        <f t="shared" si="10"/>
        <v>0</v>
      </c>
      <c r="G183" s="23" t="s">
        <v>24</v>
      </c>
      <c r="H183" s="25" t="s">
        <v>19</v>
      </c>
      <c r="I183" s="29">
        <f t="shared" si="2"/>
        <v>0</v>
      </c>
      <c r="J183" s="126" t="s">
        <v>843</v>
      </c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22.5" customHeight="1">
      <c r="A184" s="126" t="s">
        <v>845</v>
      </c>
      <c r="B184" s="137" t="s">
        <v>827</v>
      </c>
      <c r="C184" s="125">
        <v>1.25E8</v>
      </c>
      <c r="D184" s="138"/>
      <c r="E184" s="125">
        <v>1.25E8</v>
      </c>
      <c r="F184" s="138">
        <f t="shared" si="10"/>
        <v>0</v>
      </c>
      <c r="G184" s="23" t="s">
        <v>24</v>
      </c>
      <c r="H184" s="25" t="s">
        <v>19</v>
      </c>
      <c r="I184" s="29">
        <f t="shared" si="2"/>
        <v>0</v>
      </c>
      <c r="J184" s="126" t="s">
        <v>849</v>
      </c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22.5" customHeight="1">
      <c r="A185" s="126" t="s">
        <v>850</v>
      </c>
      <c r="B185" s="137" t="s">
        <v>827</v>
      </c>
      <c r="C185" s="125">
        <v>1.0E8</v>
      </c>
      <c r="D185" s="125">
        <v>6.0E7</v>
      </c>
      <c r="E185" s="125">
        <v>1.0E8</v>
      </c>
      <c r="F185" s="138">
        <f t="shared" si="10"/>
        <v>0</v>
      </c>
      <c r="G185" s="23" t="s">
        <v>24</v>
      </c>
      <c r="H185" s="25" t="s">
        <v>19</v>
      </c>
      <c r="I185" s="29">
        <f t="shared" si="2"/>
        <v>0</v>
      </c>
      <c r="J185" s="126" t="s">
        <v>852</v>
      </c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22.5" customHeight="1">
      <c r="A186" s="126" t="s">
        <v>854</v>
      </c>
      <c r="B186" s="137" t="s">
        <v>827</v>
      </c>
      <c r="C186" s="125">
        <v>1.75E8</v>
      </c>
      <c r="D186" s="125">
        <v>9.8E7</v>
      </c>
      <c r="E186" s="125">
        <v>1.5E8</v>
      </c>
      <c r="F186" s="138">
        <f t="shared" si="10"/>
        <v>25000000</v>
      </c>
      <c r="G186" s="23" t="s">
        <v>24</v>
      </c>
      <c r="H186" s="25" t="s">
        <v>19</v>
      </c>
      <c r="I186" s="29">
        <f t="shared" si="2"/>
        <v>0.1428571429</v>
      </c>
      <c r="J186" s="126" t="s">
        <v>856</v>
      </c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22.5" customHeight="1">
      <c r="A187" s="126" t="s">
        <v>857</v>
      </c>
      <c r="B187" s="139">
        <v>46332.0</v>
      </c>
      <c r="C187" s="125">
        <v>3.0E7</v>
      </c>
      <c r="D187" s="125">
        <v>2.0E7</v>
      </c>
      <c r="E187" s="125">
        <v>2.5E7</v>
      </c>
      <c r="F187" s="138">
        <f t="shared" si="10"/>
        <v>5000000</v>
      </c>
      <c r="G187" s="23" t="s">
        <v>15</v>
      </c>
      <c r="H187" s="25" t="s">
        <v>19</v>
      </c>
      <c r="I187" s="29">
        <f t="shared" si="2"/>
        <v>0.1666666667</v>
      </c>
      <c r="J187" s="132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22.5" customHeight="1">
      <c r="A188" s="126" t="s">
        <v>860</v>
      </c>
      <c r="B188" s="139">
        <v>46332.0</v>
      </c>
      <c r="C188" s="125">
        <v>3.15E7</v>
      </c>
      <c r="D188" s="125">
        <v>2.5E7</v>
      </c>
      <c r="E188" s="125">
        <v>3.05E7</v>
      </c>
      <c r="F188" s="138">
        <f t="shared" si="10"/>
        <v>1000000</v>
      </c>
      <c r="G188" s="23" t="s">
        <v>15</v>
      </c>
      <c r="H188" s="25" t="s">
        <v>19</v>
      </c>
      <c r="I188" s="29">
        <f t="shared" si="2"/>
        <v>0.03174603175</v>
      </c>
      <c r="J188" s="126" t="s">
        <v>862</v>
      </c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22.5" customHeight="1">
      <c r="A189" s="126" t="s">
        <v>864</v>
      </c>
      <c r="B189" s="139">
        <v>46332.0</v>
      </c>
      <c r="C189" s="125">
        <v>5.5E7</v>
      </c>
      <c r="D189" s="125">
        <v>4.5E7</v>
      </c>
      <c r="E189" s="125">
        <v>4.5E7</v>
      </c>
      <c r="F189" s="138">
        <f t="shared" si="10"/>
        <v>10000000</v>
      </c>
      <c r="G189" s="23" t="s">
        <v>24</v>
      </c>
      <c r="H189" s="25" t="s">
        <v>19</v>
      </c>
      <c r="I189" s="29">
        <f t="shared" si="2"/>
        <v>0.1818181818</v>
      </c>
      <c r="J189" s="126" t="s">
        <v>865</v>
      </c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22.5" customHeight="1">
      <c r="A190" s="126" t="s">
        <v>867</v>
      </c>
      <c r="B190" s="139">
        <v>46332.0</v>
      </c>
      <c r="C190" s="125">
        <v>5.0E7</v>
      </c>
      <c r="D190" s="125">
        <v>3.8E7</v>
      </c>
      <c r="E190" s="125">
        <v>3.8E7</v>
      </c>
      <c r="F190" s="138">
        <f t="shared" si="10"/>
        <v>12000000</v>
      </c>
      <c r="G190" s="23" t="s">
        <v>15</v>
      </c>
      <c r="H190" s="25" t="s">
        <v>19</v>
      </c>
      <c r="I190" s="29">
        <f t="shared" si="2"/>
        <v>0.24</v>
      </c>
      <c r="J190" s="132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22.5" customHeight="1">
      <c r="A191" s="126" t="s">
        <v>870</v>
      </c>
      <c r="B191" s="139">
        <v>46332.0</v>
      </c>
      <c r="C191" s="125">
        <v>3.0E7</v>
      </c>
      <c r="D191" s="125">
        <v>2.0E7</v>
      </c>
      <c r="E191" s="125">
        <v>2.2E7</v>
      </c>
      <c r="F191" s="138">
        <f t="shared" si="10"/>
        <v>8000000</v>
      </c>
      <c r="G191" s="23" t="s">
        <v>15</v>
      </c>
      <c r="H191" s="25" t="s">
        <v>19</v>
      </c>
      <c r="I191" s="29">
        <f t="shared" si="2"/>
        <v>0.2666666667</v>
      </c>
      <c r="J191" s="132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22.5" customHeight="1">
      <c r="A192" s="126" t="s">
        <v>873</v>
      </c>
      <c r="B192" s="139">
        <v>46332.0</v>
      </c>
      <c r="C192" s="125">
        <v>4.0E7</v>
      </c>
      <c r="D192" s="125">
        <v>3.2E7</v>
      </c>
      <c r="E192" s="125">
        <v>4.0E7</v>
      </c>
      <c r="F192" s="138">
        <f t="shared" si="10"/>
        <v>0</v>
      </c>
      <c r="G192" s="23" t="s">
        <v>24</v>
      </c>
      <c r="H192" s="25" t="s">
        <v>19</v>
      </c>
      <c r="I192" s="29">
        <f t="shared" si="2"/>
        <v>0</v>
      </c>
      <c r="J192" s="126" t="s">
        <v>875</v>
      </c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22.5" customHeight="1">
      <c r="A193" s="126" t="s">
        <v>876</v>
      </c>
      <c r="B193" s="139">
        <v>46332.0</v>
      </c>
      <c r="C193" s="125">
        <v>4.0E7</v>
      </c>
      <c r="D193" s="125">
        <v>3.8E7</v>
      </c>
      <c r="E193" s="125">
        <v>3.8E7</v>
      </c>
      <c r="F193" s="138">
        <f t="shared" si="10"/>
        <v>2000000</v>
      </c>
      <c r="G193" s="23" t="s">
        <v>15</v>
      </c>
      <c r="H193" s="25" t="s">
        <v>19</v>
      </c>
      <c r="I193" s="29">
        <f t="shared" si="2"/>
        <v>0.05</v>
      </c>
      <c r="J193" s="126" t="s">
        <v>878</v>
      </c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22.5" customHeight="1">
      <c r="A194" s="126" t="s">
        <v>879</v>
      </c>
      <c r="B194" s="139">
        <v>46332.0</v>
      </c>
      <c r="C194" s="125">
        <v>2.0E7</v>
      </c>
      <c r="D194" s="125">
        <v>1.4E7</v>
      </c>
      <c r="E194" s="125">
        <v>1.6E7</v>
      </c>
      <c r="F194" s="138">
        <f t="shared" si="10"/>
        <v>4000000</v>
      </c>
      <c r="G194" s="23" t="s">
        <v>24</v>
      </c>
      <c r="H194" s="25" t="s">
        <v>19</v>
      </c>
      <c r="I194" s="29">
        <f t="shared" si="2"/>
        <v>0.2</v>
      </c>
      <c r="J194" s="126" t="s">
        <v>881</v>
      </c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22.5" customHeight="1">
      <c r="A195" s="126" t="s">
        <v>883</v>
      </c>
      <c r="B195" s="139">
        <v>46332.0</v>
      </c>
      <c r="C195" s="125">
        <v>1.2E7</v>
      </c>
      <c r="D195" s="125">
        <v>1.0E7</v>
      </c>
      <c r="E195" s="125">
        <v>1.0E7</v>
      </c>
      <c r="F195" s="138">
        <f t="shared" si="10"/>
        <v>2000000</v>
      </c>
      <c r="G195" s="23" t="s">
        <v>15</v>
      </c>
      <c r="H195" s="25" t="s">
        <v>19</v>
      </c>
      <c r="I195" s="29">
        <f t="shared" si="2"/>
        <v>0.1666666667</v>
      </c>
      <c r="J195" s="126" t="s">
        <v>886</v>
      </c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22.5" customHeight="1">
      <c r="A196" s="126" t="s">
        <v>889</v>
      </c>
      <c r="B196" s="139">
        <v>46332.0</v>
      </c>
      <c r="C196" s="125">
        <v>1.7E7</v>
      </c>
      <c r="D196" s="125">
        <v>1.2E7</v>
      </c>
      <c r="E196" s="125">
        <v>1.3E7</v>
      </c>
      <c r="F196" s="138">
        <f t="shared" si="10"/>
        <v>4000000</v>
      </c>
      <c r="G196" s="23" t="s">
        <v>24</v>
      </c>
      <c r="H196" s="25" t="s">
        <v>19</v>
      </c>
      <c r="I196" s="29">
        <f t="shared" si="2"/>
        <v>0.2352941176</v>
      </c>
      <c r="J196" s="126" t="s">
        <v>892</v>
      </c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22.5" customHeight="1">
      <c r="A197" s="126" t="s">
        <v>893</v>
      </c>
      <c r="B197" s="139">
        <v>46332.0</v>
      </c>
      <c r="C197" s="125">
        <v>1.4E8</v>
      </c>
      <c r="D197" s="125">
        <v>1.0E8</v>
      </c>
      <c r="E197" s="125">
        <v>1.4E8</v>
      </c>
      <c r="F197" s="138">
        <f t="shared" si="10"/>
        <v>0</v>
      </c>
      <c r="G197" s="23" t="s">
        <v>24</v>
      </c>
      <c r="H197" s="25" t="s">
        <v>19</v>
      </c>
      <c r="I197" s="29">
        <f t="shared" si="2"/>
        <v>0</v>
      </c>
      <c r="J197" s="126" t="s">
        <v>894</v>
      </c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22.5" customHeight="1">
      <c r="A198" s="126" t="s">
        <v>896</v>
      </c>
      <c r="B198" s="137" t="s">
        <v>898</v>
      </c>
      <c r="C198" s="125">
        <v>4.25E7</v>
      </c>
      <c r="D198" s="125">
        <v>3.8E7</v>
      </c>
      <c r="E198" s="125">
        <v>3.8E7</v>
      </c>
      <c r="F198" s="138">
        <f t="shared" si="10"/>
        <v>4500000</v>
      </c>
      <c r="G198" s="23" t="s">
        <v>15</v>
      </c>
      <c r="H198" s="25" t="s">
        <v>19</v>
      </c>
      <c r="I198" s="29">
        <f t="shared" si="2"/>
        <v>0.1058823529</v>
      </c>
      <c r="J198" s="132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22.5" customHeight="1">
      <c r="A199" s="126" t="s">
        <v>901</v>
      </c>
      <c r="B199" s="137" t="s">
        <v>898</v>
      </c>
      <c r="C199" s="125">
        <v>3.0E7</v>
      </c>
      <c r="D199" s="138"/>
      <c r="E199" s="125">
        <v>3.0E7</v>
      </c>
      <c r="F199" s="138">
        <f t="shared" ref="F199:F207" si="11">C:C-E:E</f>
        <v>0</v>
      </c>
      <c r="G199" s="23" t="s">
        <v>24</v>
      </c>
      <c r="H199" s="25" t="s">
        <v>19</v>
      </c>
      <c r="I199" s="29">
        <f t="shared" si="2"/>
        <v>0</v>
      </c>
      <c r="J199" s="126" t="s">
        <v>904</v>
      </c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22.5" customHeight="1">
      <c r="A200" s="126" t="s">
        <v>906</v>
      </c>
      <c r="B200" s="137" t="s">
        <v>898</v>
      </c>
      <c r="C200" s="125">
        <v>5.0E7</v>
      </c>
      <c r="D200" s="125">
        <v>4.5E7</v>
      </c>
      <c r="E200" s="125">
        <v>4.9E7</v>
      </c>
      <c r="F200" s="138">
        <f t="shared" si="11"/>
        <v>1000000</v>
      </c>
      <c r="G200" s="23" t="s">
        <v>15</v>
      </c>
      <c r="H200" s="25" t="s">
        <v>19</v>
      </c>
      <c r="I200" s="29">
        <f t="shared" si="2"/>
        <v>0.02</v>
      </c>
      <c r="J200" s="126" t="s">
        <v>910</v>
      </c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22.5" customHeight="1">
      <c r="A201" s="126" t="s">
        <v>912</v>
      </c>
      <c r="B201" s="137" t="s">
        <v>898</v>
      </c>
      <c r="C201" s="125">
        <v>5.2E7</v>
      </c>
      <c r="D201" s="125">
        <v>4.2E7</v>
      </c>
      <c r="E201" s="125">
        <v>4.2E7</v>
      </c>
      <c r="F201" s="138">
        <f t="shared" si="11"/>
        <v>10000000</v>
      </c>
      <c r="G201" s="23" t="s">
        <v>15</v>
      </c>
      <c r="H201" s="25" t="s">
        <v>19</v>
      </c>
      <c r="I201" s="29">
        <f t="shared" si="2"/>
        <v>0.1923076923</v>
      </c>
      <c r="J201" s="132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22.5" customHeight="1">
      <c r="A202" s="126" t="s">
        <v>915</v>
      </c>
      <c r="B202" s="137" t="s">
        <v>898</v>
      </c>
      <c r="C202" s="125">
        <v>1.1E8</v>
      </c>
      <c r="D202" s="125">
        <v>7.5E7</v>
      </c>
      <c r="E202" s="125">
        <v>7.5E7</v>
      </c>
      <c r="F202" s="138">
        <f t="shared" si="11"/>
        <v>35000000</v>
      </c>
      <c r="G202" s="23" t="s">
        <v>15</v>
      </c>
      <c r="H202" s="25" t="s">
        <v>19</v>
      </c>
      <c r="I202" s="29">
        <f t="shared" si="2"/>
        <v>0.3181818182</v>
      </c>
      <c r="J202" s="132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22.5" customHeight="1">
      <c r="A203" s="126" t="s">
        <v>917</v>
      </c>
      <c r="B203" s="137" t="s">
        <v>898</v>
      </c>
      <c r="C203" s="125">
        <v>3.5E7</v>
      </c>
      <c r="D203" s="125">
        <v>2.8E7</v>
      </c>
      <c r="E203" s="125">
        <v>3.0E7</v>
      </c>
      <c r="F203" s="138">
        <f t="shared" si="11"/>
        <v>5000000</v>
      </c>
      <c r="G203" s="23" t="s">
        <v>15</v>
      </c>
      <c r="H203" s="25" t="s">
        <v>19</v>
      </c>
      <c r="I203" s="29">
        <f t="shared" si="2"/>
        <v>0.1428571429</v>
      </c>
      <c r="J203" s="126" t="s">
        <v>919</v>
      </c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22.5" customHeight="1">
      <c r="A204" s="126" t="s">
        <v>921</v>
      </c>
      <c r="B204" s="137" t="s">
        <v>898</v>
      </c>
      <c r="C204" s="125">
        <v>1.25E7</v>
      </c>
      <c r="D204" s="125">
        <v>1.0E7</v>
      </c>
      <c r="E204" s="125">
        <v>1.1E7</v>
      </c>
      <c r="F204" s="138">
        <f t="shared" si="11"/>
        <v>1500000</v>
      </c>
      <c r="G204" s="23" t="s">
        <v>15</v>
      </c>
      <c r="H204" s="25" t="s">
        <v>19</v>
      </c>
      <c r="I204" s="29">
        <f t="shared" si="2"/>
        <v>0.12</v>
      </c>
      <c r="J204" s="126" t="s">
        <v>924</v>
      </c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22.5" customHeight="1">
      <c r="A205" s="126" t="s">
        <v>925</v>
      </c>
      <c r="B205" s="137" t="s">
        <v>898</v>
      </c>
      <c r="C205" s="125">
        <v>2.2E7</v>
      </c>
      <c r="D205" s="138"/>
      <c r="E205" s="125">
        <v>2.2E7</v>
      </c>
      <c r="F205" s="138">
        <f t="shared" si="11"/>
        <v>0</v>
      </c>
      <c r="G205" s="23" t="s">
        <v>24</v>
      </c>
      <c r="H205" s="25" t="s">
        <v>19</v>
      </c>
      <c r="I205" s="29">
        <f t="shared" si="2"/>
        <v>0</v>
      </c>
      <c r="J205" s="126" t="s">
        <v>929</v>
      </c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22.5" customHeight="1">
      <c r="A206" s="126" t="s">
        <v>930</v>
      </c>
      <c r="B206" s="137" t="s">
        <v>898</v>
      </c>
      <c r="C206" s="125">
        <v>2.0E7</v>
      </c>
      <c r="D206" s="125">
        <v>1.5E7</v>
      </c>
      <c r="E206" s="125">
        <v>1.6E7</v>
      </c>
      <c r="F206" s="138">
        <f t="shared" si="11"/>
        <v>4000000</v>
      </c>
      <c r="G206" s="23" t="s">
        <v>15</v>
      </c>
      <c r="H206" s="25" t="s">
        <v>19</v>
      </c>
      <c r="I206" s="29">
        <f t="shared" si="2"/>
        <v>0.2</v>
      </c>
      <c r="J206" s="126" t="s">
        <v>933</v>
      </c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22.5" customHeight="1">
      <c r="A207" s="126" t="s">
        <v>934</v>
      </c>
      <c r="B207" s="137" t="s">
        <v>935</v>
      </c>
      <c r="C207" s="125">
        <v>9.0E7</v>
      </c>
      <c r="D207" s="125">
        <v>6.5E7</v>
      </c>
      <c r="E207" s="125">
        <v>8.4E7</v>
      </c>
      <c r="F207" s="138">
        <f t="shared" si="11"/>
        <v>6000000</v>
      </c>
      <c r="G207" s="23" t="s">
        <v>24</v>
      </c>
      <c r="H207" s="25" t="s">
        <v>19</v>
      </c>
      <c r="I207" s="29">
        <f t="shared" si="2"/>
        <v>0.06666666667</v>
      </c>
      <c r="J207" s="126" t="s">
        <v>929</v>
      </c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22.5" customHeight="1">
      <c r="A208" s="126" t="s">
        <v>938</v>
      </c>
      <c r="B208" s="137" t="s">
        <v>939</v>
      </c>
      <c r="C208" s="125">
        <v>3.5E7</v>
      </c>
      <c r="D208" s="125">
        <v>2.8E7</v>
      </c>
      <c r="E208" s="125">
        <v>2.8E7</v>
      </c>
      <c r="F208" s="138">
        <f t="shared" ref="F208:F387" si="12">C208-E208</f>
        <v>7000000</v>
      </c>
      <c r="G208" s="23" t="s">
        <v>15</v>
      </c>
      <c r="H208" s="25" t="s">
        <v>19</v>
      </c>
      <c r="I208" s="29">
        <f t="shared" si="2"/>
        <v>0.2</v>
      </c>
      <c r="J208" s="132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22.5" customHeight="1">
      <c r="A209" s="126" t="s">
        <v>941</v>
      </c>
      <c r="B209" s="137" t="s">
        <v>942</v>
      </c>
      <c r="C209" s="125">
        <v>2.9E7</v>
      </c>
      <c r="D209" s="125">
        <v>2.4E7</v>
      </c>
      <c r="E209" s="125">
        <v>2.6E7</v>
      </c>
      <c r="F209" s="138">
        <f t="shared" si="12"/>
        <v>3000000</v>
      </c>
      <c r="G209" s="23" t="s">
        <v>24</v>
      </c>
      <c r="H209" s="25" t="s">
        <v>19</v>
      </c>
      <c r="I209" s="29">
        <f t="shared" si="2"/>
        <v>0.1034482759</v>
      </c>
      <c r="J209" s="126" t="s">
        <v>944</v>
      </c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22.5" customHeight="1">
      <c r="A210" s="126" t="s">
        <v>945</v>
      </c>
      <c r="B210" s="137" t="s">
        <v>942</v>
      </c>
      <c r="C210" s="125">
        <v>1.3E8</v>
      </c>
      <c r="D210" s="138"/>
      <c r="E210" s="125">
        <v>1.3E8</v>
      </c>
      <c r="F210" s="138">
        <f t="shared" si="12"/>
        <v>0</v>
      </c>
      <c r="G210" s="23" t="s">
        <v>24</v>
      </c>
      <c r="H210" s="25" t="s">
        <v>19</v>
      </c>
      <c r="I210" s="29">
        <f t="shared" si="2"/>
        <v>0</v>
      </c>
      <c r="J210" s="126" t="s">
        <v>947</v>
      </c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22.5" customHeight="1">
      <c r="A211" s="126" t="s">
        <v>949</v>
      </c>
      <c r="B211" s="137" t="s">
        <v>942</v>
      </c>
      <c r="C211" s="125">
        <v>2.5E7</v>
      </c>
      <c r="D211" s="125">
        <v>2.0E7</v>
      </c>
      <c r="E211" s="125">
        <v>2.2E7</v>
      </c>
      <c r="F211" s="138">
        <f t="shared" si="12"/>
        <v>3000000</v>
      </c>
      <c r="G211" s="23" t="s">
        <v>15</v>
      </c>
      <c r="H211" s="25" t="s">
        <v>19</v>
      </c>
      <c r="I211" s="29">
        <f t="shared" si="2"/>
        <v>0.12</v>
      </c>
      <c r="J211" s="132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22.5" customHeight="1">
      <c r="A212" s="126" t="s">
        <v>952</v>
      </c>
      <c r="B212" s="137" t="s">
        <v>942</v>
      </c>
      <c r="C212" s="125">
        <v>8.5E7</v>
      </c>
      <c r="D212" s="125">
        <v>6.5E7</v>
      </c>
      <c r="E212" s="125">
        <v>7.0E7</v>
      </c>
      <c r="F212" s="138">
        <f t="shared" si="12"/>
        <v>15000000</v>
      </c>
      <c r="G212" s="23" t="s">
        <v>15</v>
      </c>
      <c r="H212" s="25" t="s">
        <v>19</v>
      </c>
      <c r="I212" s="29">
        <f t="shared" si="2"/>
        <v>0.1764705882</v>
      </c>
      <c r="J212" s="126" t="s">
        <v>955</v>
      </c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22.5" customHeight="1">
      <c r="A213" s="126" t="s">
        <v>957</v>
      </c>
      <c r="B213" s="137" t="s">
        <v>942</v>
      </c>
      <c r="C213" s="125">
        <v>1.1E8</v>
      </c>
      <c r="D213" s="125">
        <v>9.0E8</v>
      </c>
      <c r="E213" s="125">
        <v>9.5E7</v>
      </c>
      <c r="F213" s="138">
        <f t="shared" si="12"/>
        <v>15000000</v>
      </c>
      <c r="G213" s="23" t="s">
        <v>15</v>
      </c>
      <c r="H213" s="25" t="s">
        <v>19</v>
      </c>
      <c r="I213" s="29">
        <f t="shared" si="2"/>
        <v>0.1363636364</v>
      </c>
      <c r="J213" s="126" t="s">
        <v>959</v>
      </c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22.5" customHeight="1">
      <c r="A214" s="126" t="s">
        <v>961</v>
      </c>
      <c r="B214" s="137" t="s">
        <v>942</v>
      </c>
      <c r="C214" s="125">
        <v>5.0E7</v>
      </c>
      <c r="D214" s="125">
        <v>4.6E7</v>
      </c>
      <c r="E214" s="125">
        <v>4.6E7</v>
      </c>
      <c r="F214" s="138">
        <f t="shared" si="12"/>
        <v>4000000</v>
      </c>
      <c r="G214" s="23" t="s">
        <v>15</v>
      </c>
      <c r="H214" s="25" t="s">
        <v>19</v>
      </c>
      <c r="I214" s="29">
        <f t="shared" si="2"/>
        <v>0.08</v>
      </c>
      <c r="J214" s="126" t="s">
        <v>963</v>
      </c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22.5" customHeight="1">
      <c r="A215" s="126" t="s">
        <v>965</v>
      </c>
      <c r="B215" s="137" t="s">
        <v>966</v>
      </c>
      <c r="C215" s="125">
        <v>2.0E7</v>
      </c>
      <c r="D215" s="125">
        <v>1.5E7</v>
      </c>
      <c r="E215" s="125">
        <v>1.8E7</v>
      </c>
      <c r="F215" s="138">
        <f t="shared" si="12"/>
        <v>2000000</v>
      </c>
      <c r="G215" s="23" t="s">
        <v>15</v>
      </c>
      <c r="H215" s="25" t="s">
        <v>19</v>
      </c>
      <c r="I215" s="29">
        <f t="shared" si="2"/>
        <v>0.1</v>
      </c>
      <c r="J215" s="126" t="s">
        <v>969</v>
      </c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22.5" customHeight="1">
      <c r="A216" s="126" t="s">
        <v>971</v>
      </c>
      <c r="B216" s="137" t="s">
        <v>972</v>
      </c>
      <c r="C216" s="125">
        <v>8.0E7</v>
      </c>
      <c r="D216" s="125">
        <v>7.0E7</v>
      </c>
      <c r="E216" s="125">
        <v>7.0E7</v>
      </c>
      <c r="F216" s="138">
        <f t="shared" si="12"/>
        <v>10000000</v>
      </c>
      <c r="G216" s="23" t="s">
        <v>15</v>
      </c>
      <c r="H216" s="25" t="s">
        <v>19</v>
      </c>
      <c r="I216" s="29">
        <f t="shared" si="2"/>
        <v>0.125</v>
      </c>
      <c r="J216" s="132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22.5" customHeight="1">
      <c r="A217" s="126" t="s">
        <v>974</v>
      </c>
      <c r="B217" s="137" t="s">
        <v>972</v>
      </c>
      <c r="C217" s="125">
        <v>6.5E7</v>
      </c>
      <c r="D217" s="138"/>
      <c r="E217" s="125">
        <v>6.5E7</v>
      </c>
      <c r="F217" s="138">
        <f t="shared" si="12"/>
        <v>0</v>
      </c>
      <c r="G217" s="23" t="s">
        <v>24</v>
      </c>
      <c r="H217" s="25" t="s">
        <v>19</v>
      </c>
      <c r="I217" s="29">
        <f t="shared" si="2"/>
        <v>0</v>
      </c>
      <c r="J217" s="126" t="s">
        <v>975</v>
      </c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22.5" customHeight="1">
      <c r="A218" s="126" t="s">
        <v>979</v>
      </c>
      <c r="B218" s="137" t="s">
        <v>972</v>
      </c>
      <c r="C218" s="125">
        <v>2.5E7</v>
      </c>
      <c r="D218" s="125">
        <v>2.0E7</v>
      </c>
      <c r="E218" s="125">
        <v>2.0E7</v>
      </c>
      <c r="F218" s="138">
        <f t="shared" si="12"/>
        <v>5000000</v>
      </c>
      <c r="G218" s="23" t="s">
        <v>15</v>
      </c>
      <c r="H218" s="25" t="s">
        <v>19</v>
      </c>
      <c r="I218" s="29">
        <f t="shared" si="2"/>
        <v>0.2</v>
      </c>
      <c r="J218" s="126" t="s">
        <v>981</v>
      </c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22.5" customHeight="1">
      <c r="A219" s="126" t="s">
        <v>983</v>
      </c>
      <c r="B219" s="137" t="s">
        <v>972</v>
      </c>
      <c r="C219" s="125">
        <v>4.0E7</v>
      </c>
      <c r="D219" s="125">
        <v>3.4E7</v>
      </c>
      <c r="E219" s="125">
        <v>3.7E7</v>
      </c>
      <c r="F219" s="138">
        <f t="shared" si="12"/>
        <v>3000000</v>
      </c>
      <c r="G219" s="23" t="s">
        <v>24</v>
      </c>
      <c r="H219" s="25" t="s">
        <v>19</v>
      </c>
      <c r="I219" s="29">
        <f t="shared" si="2"/>
        <v>0.075</v>
      </c>
      <c r="J219" s="126" t="s">
        <v>984</v>
      </c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22.5" customHeight="1">
      <c r="A220" s="126" t="s">
        <v>986</v>
      </c>
      <c r="B220" s="137" t="s">
        <v>972</v>
      </c>
      <c r="C220" s="125">
        <v>1.5E8</v>
      </c>
      <c r="D220" s="125">
        <v>1.25E8</v>
      </c>
      <c r="E220" s="125">
        <v>1.25E8</v>
      </c>
      <c r="F220" s="138">
        <f t="shared" si="12"/>
        <v>25000000</v>
      </c>
      <c r="G220" s="23" t="s">
        <v>15</v>
      </c>
      <c r="H220" s="25" t="s">
        <v>19</v>
      </c>
      <c r="I220" s="29">
        <f t="shared" si="2"/>
        <v>0.1666666667</v>
      </c>
      <c r="J220" s="132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22.5" customHeight="1">
      <c r="A221" s="126" t="s">
        <v>987</v>
      </c>
      <c r="B221" s="137" t="s">
        <v>972</v>
      </c>
      <c r="C221" s="125">
        <v>1.4E8</v>
      </c>
      <c r="D221" s="125">
        <v>1.0E8</v>
      </c>
      <c r="E221" s="125">
        <v>1.0E8</v>
      </c>
      <c r="F221" s="138">
        <f t="shared" si="12"/>
        <v>40000000</v>
      </c>
      <c r="G221" s="23" t="s">
        <v>15</v>
      </c>
      <c r="H221" s="25" t="s">
        <v>19</v>
      </c>
      <c r="I221" s="29">
        <f t="shared" si="2"/>
        <v>0.2857142857</v>
      </c>
      <c r="J221" s="132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22.5" customHeight="1">
      <c r="A222" s="126" t="s">
        <v>990</v>
      </c>
      <c r="B222" s="137" t="s">
        <v>991</v>
      </c>
      <c r="C222" s="125">
        <v>6.5E7</v>
      </c>
      <c r="D222" s="138"/>
      <c r="E222" s="125">
        <v>6.5E7</v>
      </c>
      <c r="F222" s="138">
        <f t="shared" si="12"/>
        <v>0</v>
      </c>
      <c r="G222" s="23" t="s">
        <v>24</v>
      </c>
      <c r="H222" s="25" t="s">
        <v>19</v>
      </c>
      <c r="I222" s="29">
        <f t="shared" si="2"/>
        <v>0</v>
      </c>
      <c r="J222" s="126" t="s">
        <v>992</v>
      </c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22.5" customHeight="1">
      <c r="A223" s="126" t="s">
        <v>994</v>
      </c>
      <c r="B223" s="137" t="s">
        <v>995</v>
      </c>
      <c r="C223" s="125">
        <v>2.4E7</v>
      </c>
      <c r="D223" s="138"/>
      <c r="E223" s="125">
        <v>2.4E7</v>
      </c>
      <c r="F223" s="138">
        <f t="shared" si="12"/>
        <v>0</v>
      </c>
      <c r="G223" s="23" t="s">
        <v>24</v>
      </c>
      <c r="H223" s="25" t="s">
        <v>19</v>
      </c>
      <c r="I223" s="29">
        <f t="shared" si="2"/>
        <v>0</v>
      </c>
      <c r="J223" s="126" t="s">
        <v>996</v>
      </c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22.5" customHeight="1">
      <c r="A224" s="126" t="s">
        <v>998</v>
      </c>
      <c r="B224" s="137" t="s">
        <v>995</v>
      </c>
      <c r="C224" s="125">
        <v>5.0E7</v>
      </c>
      <c r="D224" s="138"/>
      <c r="E224" s="125">
        <v>5.0E7</v>
      </c>
      <c r="F224" s="138">
        <f t="shared" si="12"/>
        <v>0</v>
      </c>
      <c r="G224" s="23" t="s">
        <v>24</v>
      </c>
      <c r="H224" s="25" t="s">
        <v>19</v>
      </c>
      <c r="I224" s="29">
        <f t="shared" si="2"/>
        <v>0</v>
      </c>
      <c r="J224" s="126" t="s">
        <v>999</v>
      </c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22.5" customHeight="1">
      <c r="A225" s="126" t="s">
        <v>1000</v>
      </c>
      <c r="B225" s="137" t="s">
        <v>995</v>
      </c>
      <c r="C225" s="125">
        <v>7.5E7</v>
      </c>
      <c r="D225" s="138"/>
      <c r="E225" s="125">
        <v>7.5E7</v>
      </c>
      <c r="F225" s="138">
        <f t="shared" si="12"/>
        <v>0</v>
      </c>
      <c r="G225" s="23" t="s">
        <v>24</v>
      </c>
      <c r="H225" s="25" t="s">
        <v>19</v>
      </c>
      <c r="I225" s="29">
        <f t="shared" si="2"/>
        <v>0</v>
      </c>
      <c r="J225" s="126" t="s">
        <v>1002</v>
      </c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22.5" customHeight="1">
      <c r="A226" s="126" t="s">
        <v>1003</v>
      </c>
      <c r="B226" s="137" t="s">
        <v>995</v>
      </c>
      <c r="C226" s="125">
        <v>6.5E7</v>
      </c>
      <c r="D226" s="138"/>
      <c r="E226" s="125">
        <v>6.5E7</v>
      </c>
      <c r="F226" s="138">
        <f t="shared" si="12"/>
        <v>0</v>
      </c>
      <c r="G226" s="23" t="s">
        <v>24</v>
      </c>
      <c r="H226" s="25" t="s">
        <v>19</v>
      </c>
      <c r="I226" s="29">
        <f t="shared" si="2"/>
        <v>0</v>
      </c>
      <c r="J226" s="126" t="s">
        <v>1005</v>
      </c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22.5" customHeight="1">
      <c r="A227" s="126" t="s">
        <v>1007</v>
      </c>
      <c r="B227" s="137" t="s">
        <v>995</v>
      </c>
      <c r="C227" s="125">
        <v>4.0E7</v>
      </c>
      <c r="D227" s="138"/>
      <c r="E227" s="125">
        <v>4.0E7</v>
      </c>
      <c r="F227" s="138">
        <f t="shared" si="12"/>
        <v>0</v>
      </c>
      <c r="G227" s="23" t="s">
        <v>24</v>
      </c>
      <c r="H227" s="25" t="s">
        <v>19</v>
      </c>
      <c r="I227" s="29">
        <f t="shared" si="2"/>
        <v>0</v>
      </c>
      <c r="J227" s="126" t="s">
        <v>1010</v>
      </c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22.5" customHeight="1">
      <c r="A228" s="126" t="s">
        <v>1011</v>
      </c>
      <c r="B228" s="139">
        <v>46088.0</v>
      </c>
      <c r="C228" s="125">
        <v>5.0E7</v>
      </c>
      <c r="D228" s="125">
        <v>4.2E7</v>
      </c>
      <c r="E228" s="125">
        <v>4.2E7</v>
      </c>
      <c r="F228" s="138">
        <f t="shared" si="12"/>
        <v>8000000</v>
      </c>
      <c r="G228" s="23" t="s">
        <v>15</v>
      </c>
      <c r="H228" s="25" t="s">
        <v>19</v>
      </c>
      <c r="I228" s="29">
        <f t="shared" si="2"/>
        <v>0.16</v>
      </c>
      <c r="J228" s="126" t="s">
        <v>1014</v>
      </c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22.5" customHeight="1">
      <c r="A229" s="126" t="s">
        <v>1015</v>
      </c>
      <c r="B229" s="139">
        <v>46088.0</v>
      </c>
      <c r="C229" s="125">
        <v>6.0E7</v>
      </c>
      <c r="D229" s="125">
        <v>4.0E7</v>
      </c>
      <c r="E229" s="125">
        <v>4.0E7</v>
      </c>
      <c r="F229" s="138">
        <f t="shared" si="12"/>
        <v>20000000</v>
      </c>
      <c r="G229" s="23" t="s">
        <v>15</v>
      </c>
      <c r="H229" s="25" t="s">
        <v>19</v>
      </c>
      <c r="I229" s="29">
        <f t="shared" si="2"/>
        <v>0.3333333333</v>
      </c>
      <c r="J229" s="126" t="s">
        <v>1018</v>
      </c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22.5" customHeight="1">
      <c r="A230" s="126" t="s">
        <v>1019</v>
      </c>
      <c r="B230" s="139">
        <v>46088.0</v>
      </c>
      <c r="C230" s="125">
        <v>7.0E7</v>
      </c>
      <c r="D230" s="125">
        <v>5.0E7</v>
      </c>
      <c r="E230" s="125">
        <v>6.6E7</v>
      </c>
      <c r="F230" s="138">
        <f t="shared" si="12"/>
        <v>4000000</v>
      </c>
      <c r="G230" s="23" t="s">
        <v>24</v>
      </c>
      <c r="H230" s="25" t="s">
        <v>19</v>
      </c>
      <c r="I230" s="29">
        <f t="shared" si="2"/>
        <v>0.05714285714</v>
      </c>
      <c r="J230" s="126" t="s">
        <v>1021</v>
      </c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22.5" customHeight="1">
      <c r="A231" s="126" t="s">
        <v>1023</v>
      </c>
      <c r="B231" s="139">
        <v>46088.0</v>
      </c>
      <c r="C231" s="125">
        <v>3.5E7</v>
      </c>
      <c r="D231" s="125">
        <v>3.5E7</v>
      </c>
      <c r="E231" s="125">
        <v>3.3333333E7</v>
      </c>
      <c r="F231" s="138">
        <f t="shared" si="12"/>
        <v>1666667</v>
      </c>
      <c r="G231" s="23" t="s">
        <v>15</v>
      </c>
      <c r="H231" s="25" t="s">
        <v>19</v>
      </c>
      <c r="I231" s="29">
        <f t="shared" si="2"/>
        <v>0.04761905714</v>
      </c>
      <c r="J231" s="126" t="s">
        <v>1025</v>
      </c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22.5" customHeight="1">
      <c r="A232" s="126" t="s">
        <v>1027</v>
      </c>
      <c r="B232" s="139">
        <v>46088.0</v>
      </c>
      <c r="C232" s="125">
        <v>5.5E7</v>
      </c>
      <c r="D232" s="125">
        <v>5.5E7</v>
      </c>
      <c r="E232" s="125">
        <v>4.2E7</v>
      </c>
      <c r="F232" s="138">
        <f t="shared" si="12"/>
        <v>13000000</v>
      </c>
      <c r="G232" s="23" t="s">
        <v>15</v>
      </c>
      <c r="H232" s="25" t="s">
        <v>19</v>
      </c>
      <c r="I232" s="29">
        <f t="shared" si="2"/>
        <v>0.2363636364</v>
      </c>
      <c r="J232" s="132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22.5" customHeight="1">
      <c r="A233" s="126" t="s">
        <v>1029</v>
      </c>
      <c r="B233" s="139">
        <v>46088.0</v>
      </c>
      <c r="C233" s="125">
        <v>5.0E7</v>
      </c>
      <c r="D233" s="125">
        <v>3.8E7</v>
      </c>
      <c r="E233" s="125">
        <v>3.8E7</v>
      </c>
      <c r="F233" s="138">
        <f t="shared" si="12"/>
        <v>12000000</v>
      </c>
      <c r="G233" s="23" t="s">
        <v>15</v>
      </c>
      <c r="H233" s="25" t="s">
        <v>19</v>
      </c>
      <c r="I233" s="29">
        <f t="shared" si="2"/>
        <v>0.24</v>
      </c>
      <c r="J233" s="126" t="s">
        <v>1031</v>
      </c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22.5" customHeight="1">
      <c r="A234" s="126" t="s">
        <v>1032</v>
      </c>
      <c r="B234" s="139">
        <v>46302.0</v>
      </c>
      <c r="C234" s="125">
        <v>3.6E7</v>
      </c>
      <c r="D234" s="125">
        <v>2.5E7</v>
      </c>
      <c r="E234" s="125">
        <v>3.5E7</v>
      </c>
      <c r="F234" s="138">
        <f t="shared" si="12"/>
        <v>1000000</v>
      </c>
      <c r="G234" s="23" t="s">
        <v>15</v>
      </c>
      <c r="H234" s="25" t="s">
        <v>19</v>
      </c>
      <c r="I234" s="29">
        <f t="shared" si="2"/>
        <v>0.02777777778</v>
      </c>
      <c r="J234" s="126" t="s">
        <v>1033</v>
      </c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22.5" customHeight="1">
      <c r="A235" s="126" t="s">
        <v>1035</v>
      </c>
      <c r="B235" s="139">
        <v>46302.0</v>
      </c>
      <c r="C235" s="125">
        <v>3.15E7</v>
      </c>
      <c r="D235" s="125">
        <v>2.75E7</v>
      </c>
      <c r="E235" s="125">
        <v>3.1E7</v>
      </c>
      <c r="F235" s="138">
        <f t="shared" si="12"/>
        <v>500000</v>
      </c>
      <c r="G235" s="23" t="s">
        <v>15</v>
      </c>
      <c r="H235" s="25" t="s">
        <v>19</v>
      </c>
      <c r="I235" s="29">
        <f t="shared" si="2"/>
        <v>0.01587301587</v>
      </c>
      <c r="J235" s="126" t="s">
        <v>1037</v>
      </c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22.5" customHeight="1">
      <c r="A236" s="126" t="s">
        <v>1038</v>
      </c>
      <c r="B236" s="139">
        <v>46302.0</v>
      </c>
      <c r="C236" s="125">
        <v>6.0E7</v>
      </c>
      <c r="D236" s="125">
        <v>4.5E7</v>
      </c>
      <c r="E236" s="125">
        <v>4.4E7</v>
      </c>
      <c r="F236" s="138">
        <f t="shared" si="12"/>
        <v>16000000</v>
      </c>
      <c r="G236" s="23" t="s">
        <v>15</v>
      </c>
      <c r="H236" s="25" t="s">
        <v>19</v>
      </c>
      <c r="I236" s="29">
        <f t="shared" si="2"/>
        <v>0.2666666667</v>
      </c>
      <c r="J236" s="126" t="s">
        <v>1041</v>
      </c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22.5" customHeight="1">
      <c r="A237" s="126" t="s">
        <v>1042</v>
      </c>
      <c r="B237" s="139">
        <v>46302.0</v>
      </c>
      <c r="C237" s="125">
        <v>7.0E7</v>
      </c>
      <c r="D237" s="125">
        <v>5.0E7</v>
      </c>
      <c r="E237" s="125">
        <v>5.0E7</v>
      </c>
      <c r="F237" s="138">
        <f t="shared" si="12"/>
        <v>20000000</v>
      </c>
      <c r="G237" s="23" t="s">
        <v>15</v>
      </c>
      <c r="H237" s="25" t="s">
        <v>19</v>
      </c>
      <c r="I237" s="29">
        <f t="shared" si="2"/>
        <v>0.2857142857</v>
      </c>
      <c r="J237" s="126" t="s">
        <v>1044</v>
      </c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22.5" customHeight="1">
      <c r="A238" s="126" t="s">
        <v>1045</v>
      </c>
      <c r="B238" s="139">
        <v>46302.0</v>
      </c>
      <c r="C238" s="125">
        <v>1.2E8</v>
      </c>
      <c r="D238" s="125">
        <v>8.0E7</v>
      </c>
      <c r="E238" s="125">
        <v>8.0E7</v>
      </c>
      <c r="F238" s="138">
        <f t="shared" si="12"/>
        <v>40000000</v>
      </c>
      <c r="G238" s="23" t="s">
        <v>15</v>
      </c>
      <c r="H238" s="25" t="s">
        <v>19</v>
      </c>
      <c r="I238" s="29">
        <f t="shared" si="2"/>
        <v>0.3333333333</v>
      </c>
      <c r="J238" s="126" t="s">
        <v>1048</v>
      </c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22.5" customHeight="1">
      <c r="A239" s="126" t="s">
        <v>1049</v>
      </c>
      <c r="B239" s="139">
        <v>46302.0</v>
      </c>
      <c r="C239" s="125">
        <v>5.0E7</v>
      </c>
      <c r="D239" s="125">
        <v>4.0E7</v>
      </c>
      <c r="E239" s="125">
        <v>4.0E7</v>
      </c>
      <c r="F239" s="138">
        <f t="shared" si="12"/>
        <v>10000000</v>
      </c>
      <c r="G239" s="23" t="s">
        <v>15</v>
      </c>
      <c r="H239" s="25" t="s">
        <v>19</v>
      </c>
      <c r="I239" s="29">
        <f t="shared" si="2"/>
        <v>0.2</v>
      </c>
      <c r="J239" s="126" t="s">
        <v>1050</v>
      </c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22.5" customHeight="1">
      <c r="A240" s="126" t="s">
        <v>1053</v>
      </c>
      <c r="B240" s="137" t="s">
        <v>1054</v>
      </c>
      <c r="C240" s="125">
        <v>4.5E7</v>
      </c>
      <c r="D240" s="125">
        <v>3.5E7</v>
      </c>
      <c r="E240" s="125">
        <v>4.0E7</v>
      </c>
      <c r="F240" s="138">
        <f t="shared" si="12"/>
        <v>5000000</v>
      </c>
      <c r="G240" s="23" t="s">
        <v>24</v>
      </c>
      <c r="H240" s="25" t="s">
        <v>19</v>
      </c>
      <c r="I240" s="29">
        <f t="shared" si="2"/>
        <v>0.1111111111</v>
      </c>
      <c r="J240" s="126" t="s">
        <v>1055</v>
      </c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22.5" customHeight="1">
      <c r="A241" s="126" t="s">
        <v>1057</v>
      </c>
      <c r="B241" s="137" t="s">
        <v>1054</v>
      </c>
      <c r="C241" s="125">
        <v>6.5E7</v>
      </c>
      <c r="D241" s="125">
        <v>5.2E7</v>
      </c>
      <c r="E241" s="125">
        <v>5.25E7</v>
      </c>
      <c r="F241" s="138">
        <f t="shared" si="12"/>
        <v>12500000</v>
      </c>
      <c r="G241" s="23" t="s">
        <v>15</v>
      </c>
      <c r="H241" s="25" t="s">
        <v>19</v>
      </c>
      <c r="I241" s="29">
        <f t="shared" si="2"/>
        <v>0.1923076923</v>
      </c>
      <c r="J241" s="132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22.5" customHeight="1">
      <c r="A242" s="126" t="s">
        <v>946</v>
      </c>
      <c r="B242" s="137" t="s">
        <v>1060</v>
      </c>
      <c r="C242" s="125">
        <v>8.5E7</v>
      </c>
      <c r="D242" s="125">
        <v>6.5E7</v>
      </c>
      <c r="E242" s="125">
        <v>7.5E7</v>
      </c>
      <c r="F242" s="138">
        <f t="shared" si="12"/>
        <v>10000000</v>
      </c>
      <c r="G242" s="23" t="s">
        <v>15</v>
      </c>
      <c r="H242" s="25" t="s">
        <v>19</v>
      </c>
      <c r="I242" s="29">
        <f t="shared" si="2"/>
        <v>0.1176470588</v>
      </c>
      <c r="J242" s="126" t="s">
        <v>1061</v>
      </c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22.5" customHeight="1">
      <c r="A243" s="126" t="s">
        <v>634</v>
      </c>
      <c r="B243" s="137" t="s">
        <v>1060</v>
      </c>
      <c r="C243" s="125">
        <v>7.5E7</v>
      </c>
      <c r="D243" s="125">
        <v>7.0E7</v>
      </c>
      <c r="E243" s="125">
        <v>7.5E7</v>
      </c>
      <c r="F243" s="138">
        <f t="shared" si="12"/>
        <v>0</v>
      </c>
      <c r="G243" s="23" t="s">
        <v>15</v>
      </c>
      <c r="H243" s="25" t="s">
        <v>19</v>
      </c>
      <c r="I243" s="29">
        <f t="shared" si="2"/>
        <v>0</v>
      </c>
      <c r="J243" s="126" t="s">
        <v>1063</v>
      </c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22.5" customHeight="1">
      <c r="A244" s="126" t="s">
        <v>1064</v>
      </c>
      <c r="B244" s="137" t="s">
        <v>1065</v>
      </c>
      <c r="C244" s="125">
        <v>7.5E7</v>
      </c>
      <c r="D244" s="125">
        <v>6.0E7</v>
      </c>
      <c r="E244" s="125">
        <v>7.0E7</v>
      </c>
      <c r="F244" s="138">
        <f t="shared" si="12"/>
        <v>5000000</v>
      </c>
      <c r="G244" s="23" t="s">
        <v>38</v>
      </c>
      <c r="H244" s="25" t="s">
        <v>19</v>
      </c>
      <c r="I244" s="29">
        <f t="shared" si="2"/>
        <v>0.06666666667</v>
      </c>
      <c r="J244" s="132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22.5" customHeight="1">
      <c r="A245" s="126" t="s">
        <v>1068</v>
      </c>
      <c r="B245" s="137" t="s">
        <v>1069</v>
      </c>
      <c r="C245" s="125">
        <v>3.5E7</v>
      </c>
      <c r="D245" s="125">
        <v>2.5E7</v>
      </c>
      <c r="E245" s="125">
        <v>2.5E7</v>
      </c>
      <c r="F245" s="138">
        <f t="shared" si="12"/>
        <v>10000000</v>
      </c>
      <c r="G245" s="23" t="s">
        <v>15</v>
      </c>
      <c r="H245" s="25" t="s">
        <v>19</v>
      </c>
      <c r="I245" s="29">
        <f t="shared" si="2"/>
        <v>0.2857142857</v>
      </c>
      <c r="J245" s="126" t="s">
        <v>1071</v>
      </c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22.5" customHeight="1">
      <c r="A246" s="126" t="s">
        <v>1072</v>
      </c>
      <c r="B246" s="137" t="s">
        <v>1069</v>
      </c>
      <c r="C246" s="125">
        <v>1.05E8</v>
      </c>
      <c r="D246" s="138"/>
      <c r="E246" s="125">
        <v>1.05E8</v>
      </c>
      <c r="F246" s="138">
        <f t="shared" si="12"/>
        <v>0</v>
      </c>
      <c r="G246" s="23" t="s">
        <v>24</v>
      </c>
      <c r="H246" s="25" t="s">
        <v>19</v>
      </c>
      <c r="I246" s="29">
        <f t="shared" si="2"/>
        <v>0</v>
      </c>
      <c r="J246" s="126" t="s">
        <v>507</v>
      </c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22.5" customHeight="1">
      <c r="A247" s="126" t="s">
        <v>1074</v>
      </c>
      <c r="B247" s="137" t="s">
        <v>1069</v>
      </c>
      <c r="C247" s="125">
        <v>8.0E7</v>
      </c>
      <c r="D247" s="138"/>
      <c r="E247" s="125">
        <v>8.0E7</v>
      </c>
      <c r="F247" s="138">
        <f t="shared" si="12"/>
        <v>0</v>
      </c>
      <c r="G247" s="23" t="s">
        <v>24</v>
      </c>
      <c r="H247" s="25" t="s">
        <v>19</v>
      </c>
      <c r="I247" s="29">
        <f t="shared" si="2"/>
        <v>0</v>
      </c>
      <c r="J247" s="126" t="s">
        <v>507</v>
      </c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22.5" customHeight="1">
      <c r="A248" s="126" t="s">
        <v>1076</v>
      </c>
      <c r="B248" s="137" t="s">
        <v>1069</v>
      </c>
      <c r="C248" s="125">
        <v>8.0E7</v>
      </c>
      <c r="D248" s="125">
        <v>6.2E7</v>
      </c>
      <c r="E248" s="125">
        <v>6.2E7</v>
      </c>
      <c r="F248" s="138">
        <f t="shared" si="12"/>
        <v>18000000</v>
      </c>
      <c r="G248" s="23" t="s">
        <v>15</v>
      </c>
      <c r="H248" s="25" t="s">
        <v>19</v>
      </c>
      <c r="I248" s="29">
        <f t="shared" si="2"/>
        <v>0.225</v>
      </c>
      <c r="J248" s="126" t="s">
        <v>1078</v>
      </c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22.5" customHeight="1">
      <c r="A249" s="126" t="s">
        <v>1079</v>
      </c>
      <c r="B249" s="137" t="s">
        <v>1069</v>
      </c>
      <c r="C249" s="125">
        <v>5.0E7</v>
      </c>
      <c r="D249" s="125">
        <v>4.0E7</v>
      </c>
      <c r="E249" s="125">
        <v>4.0E7</v>
      </c>
      <c r="F249" s="138">
        <f t="shared" si="12"/>
        <v>10000000</v>
      </c>
      <c r="G249" s="23" t="s">
        <v>15</v>
      </c>
      <c r="H249" s="25" t="s">
        <v>19</v>
      </c>
      <c r="I249" s="29">
        <f t="shared" si="2"/>
        <v>0.2</v>
      </c>
      <c r="J249" s="132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22.5" customHeight="1">
      <c r="A250" s="126" t="s">
        <v>1082</v>
      </c>
      <c r="B250" s="137" t="s">
        <v>1069</v>
      </c>
      <c r="C250" s="125">
        <v>4.5E7</v>
      </c>
      <c r="D250" s="138"/>
      <c r="E250" s="125">
        <v>4.5E7</v>
      </c>
      <c r="F250" s="138">
        <f t="shared" si="12"/>
        <v>0</v>
      </c>
      <c r="G250" s="23" t="s">
        <v>24</v>
      </c>
      <c r="H250" s="25" t="s">
        <v>19</v>
      </c>
      <c r="I250" s="29">
        <f t="shared" si="2"/>
        <v>0</v>
      </c>
      <c r="J250" s="126" t="s">
        <v>1084</v>
      </c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22.5" customHeight="1">
      <c r="A251" s="126" t="s">
        <v>1085</v>
      </c>
      <c r="B251" s="137" t="s">
        <v>1069</v>
      </c>
      <c r="C251" s="125">
        <v>8.5E7</v>
      </c>
      <c r="D251" s="138"/>
      <c r="E251" s="125">
        <v>8.5E7</v>
      </c>
      <c r="F251" s="138">
        <f t="shared" si="12"/>
        <v>0</v>
      </c>
      <c r="G251" s="23" t="s">
        <v>24</v>
      </c>
      <c r="H251" s="25" t="s">
        <v>19</v>
      </c>
      <c r="I251" s="29">
        <f t="shared" si="2"/>
        <v>0</v>
      </c>
      <c r="J251" s="126" t="s">
        <v>507</v>
      </c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22.5" customHeight="1">
      <c r="A252" s="126" t="s">
        <v>1088</v>
      </c>
      <c r="B252" s="137" t="s">
        <v>1069</v>
      </c>
      <c r="C252" s="125">
        <v>5.5E7</v>
      </c>
      <c r="D252" s="125">
        <v>4.2E7</v>
      </c>
      <c r="E252" s="125">
        <v>4.2E7</v>
      </c>
      <c r="F252" s="138">
        <f t="shared" si="12"/>
        <v>13000000</v>
      </c>
      <c r="G252" s="23" t="s">
        <v>15</v>
      </c>
      <c r="H252" s="25" t="s">
        <v>19</v>
      </c>
      <c r="I252" s="29">
        <f t="shared" si="2"/>
        <v>0.2363636364</v>
      </c>
      <c r="J252" s="126" t="s">
        <v>1089</v>
      </c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22.5" customHeight="1">
      <c r="A253" s="126" t="s">
        <v>1091</v>
      </c>
      <c r="B253" s="137" t="s">
        <v>1093</v>
      </c>
      <c r="C253" s="125">
        <v>6.0E7</v>
      </c>
      <c r="D253" s="138"/>
      <c r="E253" s="125">
        <v>6.0E7</v>
      </c>
      <c r="F253" s="138">
        <f t="shared" si="12"/>
        <v>0</v>
      </c>
      <c r="G253" s="23" t="s">
        <v>24</v>
      </c>
      <c r="H253" s="25" t="s">
        <v>19</v>
      </c>
      <c r="I253" s="29">
        <f t="shared" si="2"/>
        <v>0</v>
      </c>
      <c r="J253" s="126" t="s">
        <v>929</v>
      </c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22.5" customHeight="1">
      <c r="A254" s="126" t="s">
        <v>1096</v>
      </c>
      <c r="B254" s="137" t="s">
        <v>1097</v>
      </c>
      <c r="C254" s="125">
        <v>4.8E7</v>
      </c>
      <c r="D254" s="125">
        <v>4.0E7</v>
      </c>
      <c r="E254" s="125">
        <v>4.0E7</v>
      </c>
      <c r="F254" s="138">
        <f t="shared" si="12"/>
        <v>8000000</v>
      </c>
      <c r="G254" s="23" t="s">
        <v>15</v>
      </c>
      <c r="H254" s="25" t="s">
        <v>19</v>
      </c>
      <c r="I254" s="29">
        <f t="shared" si="2"/>
        <v>0.1666666667</v>
      </c>
      <c r="J254" s="126" t="s">
        <v>1099</v>
      </c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22.5" customHeight="1">
      <c r="A255" s="126" t="s">
        <v>1100</v>
      </c>
      <c r="B255" s="137" t="s">
        <v>1097</v>
      </c>
      <c r="C255" s="125">
        <v>3.0E7</v>
      </c>
      <c r="D255" s="138"/>
      <c r="E255" s="125">
        <v>3.0E7</v>
      </c>
      <c r="F255" s="138">
        <f t="shared" si="12"/>
        <v>0</v>
      </c>
      <c r="G255" s="23" t="s">
        <v>24</v>
      </c>
      <c r="H255" s="25" t="s">
        <v>19</v>
      </c>
      <c r="I255" s="29">
        <f t="shared" si="2"/>
        <v>0</v>
      </c>
      <c r="J255" s="126" t="s">
        <v>555</v>
      </c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22.5" customHeight="1">
      <c r="A256" s="126" t="s">
        <v>1103</v>
      </c>
      <c r="B256" s="137" t="s">
        <v>1097</v>
      </c>
      <c r="C256" s="125">
        <v>2.5E7</v>
      </c>
      <c r="D256" s="125">
        <v>2.0E7</v>
      </c>
      <c r="E256" s="125">
        <v>2.0E7</v>
      </c>
      <c r="F256" s="138">
        <f t="shared" si="12"/>
        <v>5000000</v>
      </c>
      <c r="G256" s="23" t="s">
        <v>15</v>
      </c>
      <c r="H256" s="25" t="s">
        <v>19</v>
      </c>
      <c r="I256" s="29">
        <f t="shared" si="2"/>
        <v>0.2</v>
      </c>
      <c r="J256" s="126" t="s">
        <v>886</v>
      </c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22.5" customHeight="1">
      <c r="A257" s="126" t="s">
        <v>1105</v>
      </c>
      <c r="B257" s="137" t="s">
        <v>1097</v>
      </c>
      <c r="C257" s="125">
        <v>5.5E7</v>
      </c>
      <c r="D257" s="125">
        <v>4.0E7</v>
      </c>
      <c r="E257" s="125">
        <v>5.5E7</v>
      </c>
      <c r="F257" s="138">
        <f t="shared" si="12"/>
        <v>0</v>
      </c>
      <c r="G257" s="23" t="s">
        <v>24</v>
      </c>
      <c r="H257" s="25" t="s">
        <v>19</v>
      </c>
      <c r="I257" s="29">
        <f t="shared" si="2"/>
        <v>0</v>
      </c>
      <c r="J257" s="126" t="s">
        <v>507</v>
      </c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22.5" customHeight="1">
      <c r="A258" s="126" t="s">
        <v>1107</v>
      </c>
      <c r="B258" s="137" t="s">
        <v>1097</v>
      </c>
      <c r="C258" s="125">
        <v>4.0E7</v>
      </c>
      <c r="D258" s="125">
        <v>3.2E7</v>
      </c>
      <c r="E258" s="125">
        <v>4.0E7</v>
      </c>
      <c r="F258" s="138">
        <f t="shared" si="12"/>
        <v>0</v>
      </c>
      <c r="G258" s="23" t="s">
        <v>24</v>
      </c>
      <c r="H258" s="25" t="s">
        <v>19</v>
      </c>
      <c r="I258" s="29">
        <f t="shared" si="2"/>
        <v>0</v>
      </c>
      <c r="J258" s="126" t="s">
        <v>1109</v>
      </c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22.5" customHeight="1">
      <c r="A259" s="126" t="s">
        <v>1111</v>
      </c>
      <c r="B259" s="137" t="s">
        <v>1097</v>
      </c>
      <c r="C259" s="125">
        <v>3.0E7</v>
      </c>
      <c r="D259" s="125">
        <v>2.4E7</v>
      </c>
      <c r="E259" s="125">
        <v>2.4E7</v>
      </c>
      <c r="F259" s="138">
        <f t="shared" si="12"/>
        <v>6000000</v>
      </c>
      <c r="G259" s="23" t="s">
        <v>15</v>
      </c>
      <c r="H259" s="25" t="s">
        <v>19</v>
      </c>
      <c r="I259" s="29">
        <f t="shared" si="2"/>
        <v>0.2</v>
      </c>
      <c r="J259" s="126" t="s">
        <v>1114</v>
      </c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22.5" customHeight="1">
      <c r="A260" s="126" t="s">
        <v>1116</v>
      </c>
      <c r="B260" s="137" t="s">
        <v>1097</v>
      </c>
      <c r="C260" s="125">
        <v>5.5E7</v>
      </c>
      <c r="D260" s="125">
        <v>4.0E7</v>
      </c>
      <c r="E260" s="125">
        <v>4.0E7</v>
      </c>
      <c r="F260" s="138">
        <f t="shared" si="12"/>
        <v>15000000</v>
      </c>
      <c r="G260" s="23" t="s">
        <v>15</v>
      </c>
      <c r="H260" s="25" t="s">
        <v>19</v>
      </c>
      <c r="I260" s="29">
        <f t="shared" si="2"/>
        <v>0.2727272727</v>
      </c>
      <c r="J260" s="126" t="s">
        <v>1118</v>
      </c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22.5" customHeight="1">
      <c r="A261" s="126" t="s">
        <v>1120</v>
      </c>
      <c r="B261" s="137" t="s">
        <v>1097</v>
      </c>
      <c r="C261" s="125">
        <v>2.5E7</v>
      </c>
      <c r="D261" s="125">
        <v>2.0E7</v>
      </c>
      <c r="E261" s="125">
        <v>2.2E7</v>
      </c>
      <c r="F261" s="138">
        <f t="shared" si="12"/>
        <v>3000000</v>
      </c>
      <c r="G261" s="23" t="s">
        <v>15</v>
      </c>
      <c r="H261" s="25" t="s">
        <v>19</v>
      </c>
      <c r="I261" s="29">
        <f t="shared" si="2"/>
        <v>0.12</v>
      </c>
      <c r="J261" s="126" t="s">
        <v>1123</v>
      </c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22.5" customHeight="1">
      <c r="A262" s="126" t="s">
        <v>1124</v>
      </c>
      <c r="B262" s="137" t="s">
        <v>1097</v>
      </c>
      <c r="C262" s="125">
        <v>5.0E7</v>
      </c>
      <c r="D262" s="125">
        <v>3.6E7</v>
      </c>
      <c r="E262" s="125">
        <v>3.6E7</v>
      </c>
      <c r="F262" s="138">
        <f t="shared" si="12"/>
        <v>14000000</v>
      </c>
      <c r="G262" s="23" t="s">
        <v>15</v>
      </c>
      <c r="H262" s="25" t="s">
        <v>19</v>
      </c>
      <c r="I262" s="29">
        <f t="shared" si="2"/>
        <v>0.28</v>
      </c>
      <c r="J262" s="126" t="s">
        <v>1114</v>
      </c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22.5" customHeight="1">
      <c r="A263" s="126" t="s">
        <v>1126</v>
      </c>
      <c r="B263" s="137" t="s">
        <v>1097</v>
      </c>
      <c r="C263" s="125">
        <v>4.0E7</v>
      </c>
      <c r="D263" s="125">
        <v>3.5E7</v>
      </c>
      <c r="E263" s="125">
        <v>3.5E7</v>
      </c>
      <c r="F263" s="138">
        <f t="shared" si="12"/>
        <v>5000000</v>
      </c>
      <c r="G263" s="23" t="s">
        <v>15</v>
      </c>
      <c r="H263" s="25" t="s">
        <v>19</v>
      </c>
      <c r="I263" s="29">
        <f t="shared" si="2"/>
        <v>0.125</v>
      </c>
      <c r="J263" s="126" t="s">
        <v>1129</v>
      </c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22.5" customHeight="1">
      <c r="A264" s="126" t="s">
        <v>1130</v>
      </c>
      <c r="B264" s="137" t="s">
        <v>1097</v>
      </c>
      <c r="C264" s="125">
        <v>4.0E7</v>
      </c>
      <c r="D264" s="125">
        <v>3.3E7</v>
      </c>
      <c r="E264" s="125">
        <v>3.3E7</v>
      </c>
      <c r="F264" s="138">
        <f t="shared" si="12"/>
        <v>7000000</v>
      </c>
      <c r="G264" s="23" t="s">
        <v>15</v>
      </c>
      <c r="H264" s="25" t="s">
        <v>19</v>
      </c>
      <c r="I264" s="29">
        <f t="shared" si="2"/>
        <v>0.175</v>
      </c>
      <c r="J264" s="126" t="s">
        <v>1114</v>
      </c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22.5" customHeight="1">
      <c r="A265" s="126" t="s">
        <v>1133</v>
      </c>
      <c r="B265" s="137" t="s">
        <v>1097</v>
      </c>
      <c r="C265" s="125">
        <v>3.5E7</v>
      </c>
      <c r="D265" s="125">
        <v>3.0E7</v>
      </c>
      <c r="E265" s="125">
        <v>3.25E7</v>
      </c>
      <c r="F265" s="138">
        <f t="shared" si="12"/>
        <v>2500000</v>
      </c>
      <c r="G265" s="23" t="s">
        <v>15</v>
      </c>
      <c r="H265" s="25" t="s">
        <v>19</v>
      </c>
      <c r="I265" s="29">
        <f t="shared" si="2"/>
        <v>0.07142857143</v>
      </c>
      <c r="J265" s="126" t="s">
        <v>1135</v>
      </c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22.5" customHeight="1">
      <c r="A266" s="126" t="s">
        <v>1137</v>
      </c>
      <c r="B266" s="137" t="s">
        <v>1097</v>
      </c>
      <c r="C266" s="125">
        <v>7.0E7</v>
      </c>
      <c r="D266" s="125">
        <v>5.7E7</v>
      </c>
      <c r="E266" s="125">
        <v>5.7E7</v>
      </c>
      <c r="F266" s="138">
        <f t="shared" si="12"/>
        <v>13000000</v>
      </c>
      <c r="G266" s="23" t="s">
        <v>15</v>
      </c>
      <c r="H266" s="25" t="s">
        <v>19</v>
      </c>
      <c r="I266" s="29">
        <f t="shared" si="2"/>
        <v>0.1857142857</v>
      </c>
      <c r="J266" s="126" t="s">
        <v>1114</v>
      </c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22.5" customHeight="1">
      <c r="A267" s="126" t="s">
        <v>1139</v>
      </c>
      <c r="B267" s="137" t="s">
        <v>1097</v>
      </c>
      <c r="C267" s="125">
        <v>3.5E7</v>
      </c>
      <c r="D267" s="125">
        <v>3.3333333E7</v>
      </c>
      <c r="E267" s="125">
        <v>3.3333333E7</v>
      </c>
      <c r="F267" s="138">
        <f t="shared" si="12"/>
        <v>1666667</v>
      </c>
      <c r="G267" s="23" t="s">
        <v>24</v>
      </c>
      <c r="H267" s="25" t="s">
        <v>19</v>
      </c>
      <c r="I267" s="29">
        <f t="shared" si="2"/>
        <v>0.04761905714</v>
      </c>
      <c r="J267" s="126" t="s">
        <v>1140</v>
      </c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22.5" customHeight="1">
      <c r="A268" s="126" t="s">
        <v>1142</v>
      </c>
      <c r="B268" s="137" t="s">
        <v>1097</v>
      </c>
      <c r="C268" s="125">
        <v>6.0E7</v>
      </c>
      <c r="D268" s="125">
        <v>5.5E7</v>
      </c>
      <c r="E268" s="125">
        <v>5.5E7</v>
      </c>
      <c r="F268" s="138">
        <f t="shared" si="12"/>
        <v>5000000</v>
      </c>
      <c r="G268" s="23" t="s">
        <v>15</v>
      </c>
      <c r="H268" s="25" t="s">
        <v>19</v>
      </c>
      <c r="I268" s="29">
        <f t="shared" si="2"/>
        <v>0.08333333333</v>
      </c>
      <c r="J268" s="126" t="s">
        <v>1061</v>
      </c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22.5" customHeight="1">
      <c r="A269" s="126" t="s">
        <v>1144</v>
      </c>
      <c r="B269" s="137" t="s">
        <v>1097</v>
      </c>
      <c r="C269" s="125">
        <v>4.2E7</v>
      </c>
      <c r="D269" s="125">
        <v>3.8E7</v>
      </c>
      <c r="E269" s="125">
        <v>3.8E7</v>
      </c>
      <c r="F269" s="138">
        <f t="shared" si="12"/>
        <v>4000000</v>
      </c>
      <c r="G269" s="23" t="s">
        <v>15</v>
      </c>
      <c r="H269" s="25" t="s">
        <v>19</v>
      </c>
      <c r="I269" s="29">
        <f t="shared" si="2"/>
        <v>0.09523809524</v>
      </c>
      <c r="J269" s="126" t="s">
        <v>1114</v>
      </c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22.5" customHeight="1">
      <c r="A270" s="126" t="s">
        <v>1146</v>
      </c>
      <c r="B270" s="137" t="s">
        <v>1097</v>
      </c>
      <c r="C270" s="125">
        <v>3.5E7</v>
      </c>
      <c r="D270" s="125">
        <v>2.7E7</v>
      </c>
      <c r="E270" s="125">
        <v>3.1E7</v>
      </c>
      <c r="F270" s="138">
        <f t="shared" si="12"/>
        <v>4000000</v>
      </c>
      <c r="G270" s="23" t="s">
        <v>24</v>
      </c>
      <c r="H270" s="25" t="s">
        <v>19</v>
      </c>
      <c r="I270" s="29">
        <f t="shared" si="2"/>
        <v>0.1142857143</v>
      </c>
      <c r="J270" s="126" t="s">
        <v>1140</v>
      </c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22.5" customHeight="1">
      <c r="A271" s="126" t="s">
        <v>1148</v>
      </c>
      <c r="B271" s="137" t="s">
        <v>1097</v>
      </c>
      <c r="C271" s="125">
        <v>7.5E7</v>
      </c>
      <c r="D271" s="125">
        <v>6.0E7</v>
      </c>
      <c r="E271" s="125">
        <v>6.0E7</v>
      </c>
      <c r="F271" s="138">
        <f t="shared" si="12"/>
        <v>15000000</v>
      </c>
      <c r="G271" s="23" t="s">
        <v>15</v>
      </c>
      <c r="H271" s="25" t="s">
        <v>19</v>
      </c>
      <c r="I271" s="29">
        <f t="shared" si="2"/>
        <v>0.2</v>
      </c>
      <c r="J271" s="126" t="s">
        <v>1114</v>
      </c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22.5" customHeight="1">
      <c r="A272" s="126" t="s">
        <v>1151</v>
      </c>
      <c r="B272" s="137" t="s">
        <v>1097</v>
      </c>
      <c r="C272" s="125">
        <v>2.0E7</v>
      </c>
      <c r="D272" s="125">
        <v>1.75E7</v>
      </c>
      <c r="E272" s="125">
        <v>1.75E7</v>
      </c>
      <c r="F272" s="138">
        <f t="shared" si="12"/>
        <v>2500000</v>
      </c>
      <c r="G272" s="23" t="s">
        <v>15</v>
      </c>
      <c r="H272" s="25" t="s">
        <v>19</v>
      </c>
      <c r="I272" s="29">
        <f t="shared" si="2"/>
        <v>0.125</v>
      </c>
      <c r="J272" s="126" t="s">
        <v>886</v>
      </c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22.5" customHeight="1">
      <c r="A273" s="126" t="s">
        <v>1153</v>
      </c>
      <c r="B273" s="137" t="s">
        <v>1097</v>
      </c>
      <c r="C273" s="125">
        <v>3.0E7</v>
      </c>
      <c r="D273" s="138"/>
      <c r="E273" s="138"/>
      <c r="F273" s="138">
        <f t="shared" si="12"/>
        <v>30000000</v>
      </c>
      <c r="G273" s="23" t="s">
        <v>24</v>
      </c>
      <c r="H273" s="25" t="s">
        <v>19</v>
      </c>
      <c r="I273" s="29">
        <f t="shared" si="2"/>
        <v>1</v>
      </c>
      <c r="J273" s="126" t="s">
        <v>1155</v>
      </c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22.5" customHeight="1">
      <c r="A274" s="126" t="s">
        <v>1156</v>
      </c>
      <c r="B274" s="137" t="s">
        <v>1097</v>
      </c>
      <c r="C274" s="125">
        <v>2.5E7</v>
      </c>
      <c r="D274" s="125">
        <v>2.0E7</v>
      </c>
      <c r="E274" s="125">
        <v>2.3E7</v>
      </c>
      <c r="F274" s="138">
        <f t="shared" si="12"/>
        <v>2000000</v>
      </c>
      <c r="G274" s="23" t="s">
        <v>15</v>
      </c>
      <c r="H274" s="25" t="s">
        <v>19</v>
      </c>
      <c r="I274" s="29">
        <f t="shared" si="2"/>
        <v>0.08</v>
      </c>
      <c r="J274" s="126" t="s">
        <v>1114</v>
      </c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22.5" customHeight="1">
      <c r="A275" s="126" t="s">
        <v>1159</v>
      </c>
      <c r="B275" s="139">
        <v>46211.0</v>
      </c>
      <c r="C275" s="125">
        <v>7.5E7</v>
      </c>
      <c r="D275" s="125">
        <v>5.5E7</v>
      </c>
      <c r="E275" s="125">
        <v>7.5E7</v>
      </c>
      <c r="F275" s="138">
        <f t="shared" si="12"/>
        <v>0</v>
      </c>
      <c r="G275" s="23" t="s">
        <v>24</v>
      </c>
      <c r="H275" s="25" t="s">
        <v>19</v>
      </c>
      <c r="I275" s="29">
        <f t="shared" si="2"/>
        <v>0</v>
      </c>
      <c r="J275" s="126" t="s">
        <v>1160</v>
      </c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22.5" customHeight="1">
      <c r="A276" s="126" t="s">
        <v>1163</v>
      </c>
      <c r="B276" s="139">
        <v>46211.0</v>
      </c>
      <c r="C276" s="125">
        <v>3.5E7</v>
      </c>
      <c r="D276" s="125">
        <v>3.0E7</v>
      </c>
      <c r="E276" s="125">
        <v>3.0E7</v>
      </c>
      <c r="F276" s="138">
        <f t="shared" si="12"/>
        <v>5000000</v>
      </c>
      <c r="G276" s="23" t="s">
        <v>15</v>
      </c>
      <c r="H276" s="25" t="s">
        <v>19</v>
      </c>
      <c r="I276" s="29">
        <f t="shared" si="2"/>
        <v>0.1428571429</v>
      </c>
      <c r="J276" s="126" t="s">
        <v>1114</v>
      </c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22.5" customHeight="1">
      <c r="A277" s="126" t="s">
        <v>1165</v>
      </c>
      <c r="B277" s="139">
        <v>46211.0</v>
      </c>
      <c r="C277" s="125">
        <v>3.5E7</v>
      </c>
      <c r="D277" s="125">
        <v>2.8E7</v>
      </c>
      <c r="E277" s="125">
        <v>3.0E7</v>
      </c>
      <c r="F277" s="138">
        <f t="shared" si="12"/>
        <v>5000000</v>
      </c>
      <c r="G277" s="23" t="s">
        <v>15</v>
      </c>
      <c r="H277" s="25" t="s">
        <v>19</v>
      </c>
      <c r="I277" s="29">
        <f t="shared" si="2"/>
        <v>0.1428571429</v>
      </c>
      <c r="J277" s="126" t="s">
        <v>1114</v>
      </c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22.5" customHeight="1">
      <c r="A278" s="126" t="s">
        <v>1167</v>
      </c>
      <c r="B278" s="139">
        <v>46211.0</v>
      </c>
      <c r="C278" s="125">
        <v>9.25E7</v>
      </c>
      <c r="D278" s="125">
        <v>7.0E7</v>
      </c>
      <c r="E278" s="125">
        <v>8.5E7</v>
      </c>
      <c r="F278" s="138">
        <f t="shared" si="12"/>
        <v>7500000</v>
      </c>
      <c r="G278" s="23" t="s">
        <v>24</v>
      </c>
      <c r="H278" s="25" t="s">
        <v>19</v>
      </c>
      <c r="I278" s="29">
        <f t="shared" si="2"/>
        <v>0.08108108108</v>
      </c>
      <c r="J278" s="126" t="s">
        <v>507</v>
      </c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22.5" customHeight="1">
      <c r="A279" s="126" t="s">
        <v>1170</v>
      </c>
      <c r="B279" s="139">
        <v>46211.0</v>
      </c>
      <c r="C279" s="125">
        <v>7.5E7</v>
      </c>
      <c r="D279" s="125">
        <v>5.0E7</v>
      </c>
      <c r="E279" s="125">
        <v>7.5E7</v>
      </c>
      <c r="F279" s="138">
        <f t="shared" si="12"/>
        <v>0</v>
      </c>
      <c r="G279" s="23" t="s">
        <v>24</v>
      </c>
      <c r="H279" s="25" t="s">
        <v>19</v>
      </c>
      <c r="I279" s="29">
        <f t="shared" si="2"/>
        <v>0</v>
      </c>
      <c r="J279" s="126" t="s">
        <v>507</v>
      </c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22.5" customHeight="1">
      <c r="A280" s="126" t="s">
        <v>1171</v>
      </c>
      <c r="B280" s="139">
        <v>46211.0</v>
      </c>
      <c r="C280" s="125">
        <v>8.5E7</v>
      </c>
      <c r="D280" s="125">
        <v>6.0E7</v>
      </c>
      <c r="E280" s="125">
        <v>8.0E7</v>
      </c>
      <c r="F280" s="138">
        <f t="shared" si="12"/>
        <v>5000000</v>
      </c>
      <c r="G280" s="23" t="s">
        <v>24</v>
      </c>
      <c r="H280" s="25" t="s">
        <v>19</v>
      </c>
      <c r="I280" s="29">
        <f t="shared" si="2"/>
        <v>0.05882352941</v>
      </c>
      <c r="J280" s="126" t="s">
        <v>1173</v>
      </c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22.5" customHeight="1">
      <c r="A281" s="126" t="s">
        <v>1175</v>
      </c>
      <c r="B281" s="139">
        <v>46211.0</v>
      </c>
      <c r="C281" s="125">
        <v>2.5E7</v>
      </c>
      <c r="D281" s="125">
        <v>2.0E7</v>
      </c>
      <c r="E281" s="125">
        <v>2.4E7</v>
      </c>
      <c r="F281" s="138">
        <f t="shared" si="12"/>
        <v>1000000</v>
      </c>
      <c r="G281" s="23" t="s">
        <v>15</v>
      </c>
      <c r="H281" s="25" t="s">
        <v>19</v>
      </c>
      <c r="I281" s="29">
        <f t="shared" si="2"/>
        <v>0.04</v>
      </c>
      <c r="J281" s="126" t="s">
        <v>1178</v>
      </c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22.5" customHeight="1">
      <c r="A282" s="126" t="s">
        <v>1179</v>
      </c>
      <c r="B282" s="139">
        <v>46211.0</v>
      </c>
      <c r="C282" s="125">
        <v>7.5E7</v>
      </c>
      <c r="D282" s="138"/>
      <c r="E282" s="125">
        <v>7.5E7</v>
      </c>
      <c r="F282" s="138">
        <f t="shared" si="12"/>
        <v>0</v>
      </c>
      <c r="G282" s="23" t="s">
        <v>24</v>
      </c>
      <c r="H282" s="25" t="s">
        <v>19</v>
      </c>
      <c r="I282" s="29">
        <f t="shared" si="2"/>
        <v>0</v>
      </c>
      <c r="J282" s="126" t="s">
        <v>1181</v>
      </c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22.5" customHeight="1">
      <c r="A283" s="126" t="s">
        <v>1182</v>
      </c>
      <c r="B283" s="139">
        <v>46211.0</v>
      </c>
      <c r="C283" s="125">
        <v>3.0E7</v>
      </c>
      <c r="D283" s="125">
        <v>2.5E7</v>
      </c>
      <c r="E283" s="125">
        <v>2.5E7</v>
      </c>
      <c r="F283" s="138">
        <f t="shared" si="12"/>
        <v>5000000</v>
      </c>
      <c r="G283" s="23" t="s">
        <v>15</v>
      </c>
      <c r="H283" s="25" t="s">
        <v>19</v>
      </c>
      <c r="I283" s="29">
        <f t="shared" si="2"/>
        <v>0.1666666667</v>
      </c>
      <c r="J283" s="126" t="s">
        <v>1114</v>
      </c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22.5" customHeight="1">
      <c r="A284" s="126" t="s">
        <v>1184</v>
      </c>
      <c r="B284" s="139">
        <v>46211.0</v>
      </c>
      <c r="C284" s="125">
        <v>5.0E7</v>
      </c>
      <c r="D284" s="125">
        <v>3.8E7</v>
      </c>
      <c r="E284" s="125">
        <v>3.8E7</v>
      </c>
      <c r="F284" s="138">
        <f t="shared" si="12"/>
        <v>12000000</v>
      </c>
      <c r="G284" s="23" t="s">
        <v>15</v>
      </c>
      <c r="H284" s="25" t="s">
        <v>19</v>
      </c>
      <c r="I284" s="29">
        <f t="shared" si="2"/>
        <v>0.24</v>
      </c>
      <c r="J284" s="126" t="s">
        <v>1114</v>
      </c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22.5" customHeight="1">
      <c r="A285" s="126" t="s">
        <v>1187</v>
      </c>
      <c r="B285" s="139">
        <v>46211.0</v>
      </c>
      <c r="C285" s="125">
        <v>7.5E7</v>
      </c>
      <c r="D285" s="125">
        <v>4.0E7</v>
      </c>
      <c r="E285" s="125">
        <v>6.0E7</v>
      </c>
      <c r="F285" s="138">
        <f t="shared" si="12"/>
        <v>15000000</v>
      </c>
      <c r="G285" s="23" t="s">
        <v>24</v>
      </c>
      <c r="H285" s="25" t="s">
        <v>19</v>
      </c>
      <c r="I285" s="29">
        <f t="shared" si="2"/>
        <v>0.2</v>
      </c>
      <c r="J285" s="126" t="s">
        <v>555</v>
      </c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22.5" customHeight="1">
      <c r="A286" s="126" t="s">
        <v>1188</v>
      </c>
      <c r="B286" s="139">
        <v>46211.0</v>
      </c>
      <c r="C286" s="125">
        <v>4.5E7</v>
      </c>
      <c r="D286" s="125">
        <v>3.8E7</v>
      </c>
      <c r="E286" s="125">
        <v>3.8E7</v>
      </c>
      <c r="F286" s="138">
        <f t="shared" si="12"/>
        <v>7000000</v>
      </c>
      <c r="G286" s="23" t="s">
        <v>15</v>
      </c>
      <c r="H286" s="25" t="s">
        <v>19</v>
      </c>
      <c r="I286" s="29">
        <f t="shared" si="2"/>
        <v>0.1555555556</v>
      </c>
      <c r="J286" s="126" t="s">
        <v>1192</v>
      </c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22.5" customHeight="1">
      <c r="A287" s="126" t="s">
        <v>1194</v>
      </c>
      <c r="B287" s="139">
        <v>46211.0</v>
      </c>
      <c r="C287" s="125">
        <v>3.0E7</v>
      </c>
      <c r="D287" s="125">
        <v>2.5E7</v>
      </c>
      <c r="E287" s="125">
        <v>2.75E7</v>
      </c>
      <c r="F287" s="138">
        <f t="shared" si="12"/>
        <v>2500000</v>
      </c>
      <c r="G287" s="23" t="s">
        <v>15</v>
      </c>
      <c r="H287" s="25" t="s">
        <v>19</v>
      </c>
      <c r="I287" s="29">
        <f t="shared" si="2"/>
        <v>0.08333333333</v>
      </c>
      <c r="J287" s="126" t="s">
        <v>1196</v>
      </c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22.5" customHeight="1">
      <c r="A288" s="126" t="s">
        <v>1198</v>
      </c>
      <c r="B288" s="139">
        <v>46211.0</v>
      </c>
      <c r="C288" s="125">
        <v>5.0E7</v>
      </c>
      <c r="D288" s="125">
        <v>3.9E7</v>
      </c>
      <c r="E288" s="125">
        <v>3.9E7</v>
      </c>
      <c r="F288" s="138">
        <f t="shared" si="12"/>
        <v>11000000</v>
      </c>
      <c r="G288" s="23" t="s">
        <v>15</v>
      </c>
      <c r="H288" s="25" t="s">
        <v>19</v>
      </c>
      <c r="I288" s="29">
        <f t="shared" si="2"/>
        <v>0.22</v>
      </c>
      <c r="J288" s="126" t="s">
        <v>1199</v>
      </c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22.5" customHeight="1">
      <c r="A289" s="126" t="s">
        <v>1201</v>
      </c>
      <c r="B289" s="139">
        <v>46211.0</v>
      </c>
      <c r="C289" s="125">
        <v>7.5E7</v>
      </c>
      <c r="D289" s="125">
        <v>5.0E7</v>
      </c>
      <c r="E289" s="125">
        <v>7.5E7</v>
      </c>
      <c r="F289" s="138">
        <f t="shared" si="12"/>
        <v>0</v>
      </c>
      <c r="G289" s="23" t="s">
        <v>24</v>
      </c>
      <c r="H289" s="25" t="s">
        <v>19</v>
      </c>
      <c r="I289" s="29">
        <f t="shared" si="2"/>
        <v>0</v>
      </c>
      <c r="J289" s="126" t="s">
        <v>507</v>
      </c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22.5" customHeight="1">
      <c r="A290" s="126" t="s">
        <v>1203</v>
      </c>
      <c r="B290" s="139">
        <v>46364.0</v>
      </c>
      <c r="C290" s="125">
        <v>5.5E7</v>
      </c>
      <c r="D290" s="138"/>
      <c r="E290" s="125">
        <v>5.5E7</v>
      </c>
      <c r="F290" s="138">
        <f t="shared" si="12"/>
        <v>0</v>
      </c>
      <c r="G290" s="23" t="s">
        <v>24</v>
      </c>
      <c r="H290" s="25" t="s">
        <v>19</v>
      </c>
      <c r="I290" s="29">
        <f t="shared" si="2"/>
        <v>0</v>
      </c>
      <c r="J290" s="126" t="s">
        <v>1204</v>
      </c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22.5" customHeight="1">
      <c r="A291" s="126" t="s">
        <v>1206</v>
      </c>
      <c r="B291" s="139">
        <v>46364.0</v>
      </c>
      <c r="C291" s="125">
        <v>4.5E7</v>
      </c>
      <c r="D291" s="125">
        <v>4.0E7</v>
      </c>
      <c r="E291" s="125">
        <v>4.0E7</v>
      </c>
      <c r="F291" s="138">
        <f t="shared" si="12"/>
        <v>5000000</v>
      </c>
      <c r="G291" s="23" t="s">
        <v>15</v>
      </c>
      <c r="H291" s="25" t="s">
        <v>19</v>
      </c>
      <c r="I291" s="29">
        <f t="shared" si="2"/>
        <v>0.1111111111</v>
      </c>
      <c r="J291" s="126" t="s">
        <v>1061</v>
      </c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22.5" customHeight="1">
      <c r="A292" s="126" t="s">
        <v>1210</v>
      </c>
      <c r="B292" s="139">
        <v>46364.0</v>
      </c>
      <c r="C292" s="125">
        <v>5.0E7</v>
      </c>
      <c r="D292" s="125">
        <v>4.0E7</v>
      </c>
      <c r="E292" s="125">
        <v>4.5E7</v>
      </c>
      <c r="F292" s="138">
        <f t="shared" si="12"/>
        <v>5000000</v>
      </c>
      <c r="G292" s="23" t="s">
        <v>15</v>
      </c>
      <c r="H292" s="25" t="s">
        <v>19</v>
      </c>
      <c r="I292" s="29">
        <f t="shared" si="2"/>
        <v>0.1</v>
      </c>
      <c r="J292" s="126" t="s">
        <v>1211</v>
      </c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22.5" customHeight="1">
      <c r="A293" s="126" t="s">
        <v>1213</v>
      </c>
      <c r="B293" s="139">
        <v>46364.0</v>
      </c>
      <c r="C293" s="125">
        <v>4.0E7</v>
      </c>
      <c r="D293" s="125">
        <v>3.8E7</v>
      </c>
      <c r="E293" s="125">
        <v>3.8E7</v>
      </c>
      <c r="F293" s="138">
        <f t="shared" si="12"/>
        <v>2000000</v>
      </c>
      <c r="G293" s="23" t="s">
        <v>15</v>
      </c>
      <c r="H293" s="25" t="s">
        <v>19</v>
      </c>
      <c r="I293" s="29">
        <f t="shared" si="2"/>
        <v>0.05</v>
      </c>
      <c r="J293" s="126" t="s">
        <v>1061</v>
      </c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22.5" customHeight="1">
      <c r="A294" s="126" t="s">
        <v>1215</v>
      </c>
      <c r="B294" s="139">
        <v>46364.0</v>
      </c>
      <c r="C294" s="125">
        <v>5.0E7</v>
      </c>
      <c r="D294" s="125">
        <v>4.5E7</v>
      </c>
      <c r="E294" s="125">
        <v>4.5E7</v>
      </c>
      <c r="F294" s="138">
        <f t="shared" si="12"/>
        <v>5000000</v>
      </c>
      <c r="G294" s="23" t="s">
        <v>15</v>
      </c>
      <c r="H294" s="25" t="s">
        <v>19</v>
      </c>
      <c r="I294" s="29">
        <f t="shared" si="2"/>
        <v>0.1</v>
      </c>
      <c r="J294" s="126" t="s">
        <v>1217</v>
      </c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22.5" customHeight="1">
      <c r="A295" s="126" t="s">
        <v>1219</v>
      </c>
      <c r="B295" s="139">
        <v>46364.0</v>
      </c>
      <c r="C295" s="125">
        <v>7.5E7</v>
      </c>
      <c r="D295" s="125">
        <v>5.0E7</v>
      </c>
      <c r="E295" s="125">
        <v>5.0E7</v>
      </c>
      <c r="F295" s="138">
        <f t="shared" si="12"/>
        <v>25000000</v>
      </c>
      <c r="G295" s="23" t="s">
        <v>15</v>
      </c>
      <c r="H295" s="25" t="s">
        <v>19</v>
      </c>
      <c r="I295" s="29">
        <f t="shared" si="2"/>
        <v>0.3333333333</v>
      </c>
      <c r="J295" s="126" t="s">
        <v>1061</v>
      </c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22.5" customHeight="1">
      <c r="A296" s="126" t="s">
        <v>1220</v>
      </c>
      <c r="B296" s="137" t="s">
        <v>1221</v>
      </c>
      <c r="C296" s="125">
        <v>4.5E7</v>
      </c>
      <c r="D296" s="125">
        <v>4.0E7</v>
      </c>
      <c r="E296" s="125">
        <v>4.35E7</v>
      </c>
      <c r="F296" s="138">
        <f t="shared" si="12"/>
        <v>1500000</v>
      </c>
      <c r="G296" s="23" t="s">
        <v>15</v>
      </c>
      <c r="H296" s="25" t="s">
        <v>19</v>
      </c>
      <c r="I296" s="29">
        <f t="shared" si="2"/>
        <v>0.03333333333</v>
      </c>
      <c r="J296" s="126" t="s">
        <v>1061</v>
      </c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22.5" customHeight="1">
      <c r="A297" s="126" t="s">
        <v>1224</v>
      </c>
      <c r="B297" s="137" t="s">
        <v>1221</v>
      </c>
      <c r="C297" s="125">
        <v>6.0E7</v>
      </c>
      <c r="D297" s="125">
        <v>4.0E7</v>
      </c>
      <c r="E297" s="125">
        <v>4.5E7</v>
      </c>
      <c r="F297" s="138">
        <f t="shared" si="12"/>
        <v>15000000</v>
      </c>
      <c r="G297" s="23" t="s">
        <v>15</v>
      </c>
      <c r="H297" s="25" t="s">
        <v>19</v>
      </c>
      <c r="I297" s="29">
        <f t="shared" si="2"/>
        <v>0.25</v>
      </c>
      <c r="J297" s="126" t="s">
        <v>1225</v>
      </c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22.5" customHeight="1">
      <c r="A298" s="126" t="s">
        <v>1227</v>
      </c>
      <c r="B298" s="137" t="s">
        <v>1221</v>
      </c>
      <c r="C298" s="125">
        <v>1.25E8</v>
      </c>
      <c r="D298" s="125">
        <v>1.0E7</v>
      </c>
      <c r="E298" s="125">
        <v>1.15E8</v>
      </c>
      <c r="F298" s="138">
        <f t="shared" si="12"/>
        <v>10000000</v>
      </c>
      <c r="G298" s="23" t="s">
        <v>15</v>
      </c>
      <c r="H298" s="25" t="s">
        <v>19</v>
      </c>
      <c r="I298" s="29">
        <f t="shared" si="2"/>
        <v>0.08</v>
      </c>
      <c r="J298" s="126" t="s">
        <v>1061</v>
      </c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22.5" customHeight="1">
      <c r="A299" s="126" t="s">
        <v>1229</v>
      </c>
      <c r="B299" s="137" t="s">
        <v>1230</v>
      </c>
      <c r="C299" s="125">
        <v>3.5E7</v>
      </c>
      <c r="D299" s="138"/>
      <c r="E299" s="125">
        <v>3.5E7</v>
      </c>
      <c r="F299" s="138">
        <f t="shared" si="12"/>
        <v>0</v>
      </c>
      <c r="G299" s="23" t="s">
        <v>24</v>
      </c>
      <c r="H299" s="25" t="s">
        <v>19</v>
      </c>
      <c r="I299" s="29">
        <f t="shared" si="2"/>
        <v>0</v>
      </c>
      <c r="J299" s="126" t="s">
        <v>1232</v>
      </c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22.5" customHeight="1">
      <c r="A300" s="126" t="s">
        <v>1233</v>
      </c>
      <c r="B300" s="137" t="s">
        <v>1230</v>
      </c>
      <c r="C300" s="125">
        <v>1.35E8</v>
      </c>
      <c r="D300" s="138"/>
      <c r="E300" s="125">
        <v>1.35E8</v>
      </c>
      <c r="F300" s="138">
        <f t="shared" si="12"/>
        <v>0</v>
      </c>
      <c r="G300" s="23" t="s">
        <v>24</v>
      </c>
      <c r="H300" s="25" t="s">
        <v>19</v>
      </c>
      <c r="I300" s="29">
        <f t="shared" si="2"/>
        <v>0</v>
      </c>
      <c r="J300" s="126" t="s">
        <v>1235</v>
      </c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22.5" customHeight="1">
      <c r="A301" s="126" t="s">
        <v>1237</v>
      </c>
      <c r="B301" s="137" t="s">
        <v>1230</v>
      </c>
      <c r="C301" s="125">
        <v>2.0E7</v>
      </c>
      <c r="D301" s="125">
        <v>1.6E7</v>
      </c>
      <c r="E301" s="125">
        <v>1.6E7</v>
      </c>
      <c r="F301" s="138">
        <f t="shared" si="12"/>
        <v>4000000</v>
      </c>
      <c r="G301" s="23" t="s">
        <v>15</v>
      </c>
      <c r="H301" s="25" t="s">
        <v>19</v>
      </c>
      <c r="I301" s="29">
        <f t="shared" si="2"/>
        <v>0.2</v>
      </c>
      <c r="J301" s="126" t="s">
        <v>1061</v>
      </c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22.5" customHeight="1">
      <c r="A302" s="126" t="s">
        <v>1239</v>
      </c>
      <c r="B302" s="137" t="s">
        <v>1230</v>
      </c>
      <c r="C302" s="125">
        <v>4.5E7</v>
      </c>
      <c r="D302" s="125">
        <v>3.6E7</v>
      </c>
      <c r="E302" s="125">
        <v>3.6E7</v>
      </c>
      <c r="F302" s="138">
        <f t="shared" si="12"/>
        <v>9000000</v>
      </c>
      <c r="G302" s="23" t="s">
        <v>15</v>
      </c>
      <c r="H302" s="25" t="s">
        <v>19</v>
      </c>
      <c r="I302" s="29">
        <f t="shared" si="2"/>
        <v>0.2</v>
      </c>
      <c r="J302" s="126" t="s">
        <v>1061</v>
      </c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22.5" customHeight="1">
      <c r="A303" s="126" t="s">
        <v>1241</v>
      </c>
      <c r="B303" s="137" t="s">
        <v>1230</v>
      </c>
      <c r="C303" s="125">
        <v>4.5E7</v>
      </c>
      <c r="D303" s="125">
        <v>3.6E7</v>
      </c>
      <c r="E303" s="125">
        <v>4.5E7</v>
      </c>
      <c r="F303" s="138">
        <f t="shared" si="12"/>
        <v>0</v>
      </c>
      <c r="G303" s="23" t="s">
        <v>24</v>
      </c>
      <c r="H303" s="25" t="s">
        <v>19</v>
      </c>
      <c r="I303" s="29">
        <f t="shared" si="2"/>
        <v>0</v>
      </c>
      <c r="J303" s="126" t="s">
        <v>1243</v>
      </c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22.5" customHeight="1">
      <c r="A304" s="126" t="s">
        <v>1244</v>
      </c>
      <c r="B304" s="137" t="s">
        <v>1230</v>
      </c>
      <c r="C304" s="125">
        <v>7.5E7</v>
      </c>
      <c r="D304" s="138"/>
      <c r="E304" s="125">
        <v>7.5E7</v>
      </c>
      <c r="F304" s="138">
        <f t="shared" si="12"/>
        <v>0</v>
      </c>
      <c r="G304" s="23" t="s">
        <v>24</v>
      </c>
      <c r="H304" s="25" t="s">
        <v>19</v>
      </c>
      <c r="I304" s="29">
        <v>0.0</v>
      </c>
      <c r="J304" s="126" t="s">
        <v>1245</v>
      </c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22.5" customHeight="1">
      <c r="A305" s="126" t="s">
        <v>1247</v>
      </c>
      <c r="B305" s="137" t="s">
        <v>1230</v>
      </c>
      <c r="C305" s="125">
        <v>4.0E7</v>
      </c>
      <c r="D305" s="125">
        <v>3.2E7</v>
      </c>
      <c r="E305" s="125">
        <v>3.2E7</v>
      </c>
      <c r="F305" s="138">
        <f t="shared" si="12"/>
        <v>8000000</v>
      </c>
      <c r="G305" s="23" t="s">
        <v>15</v>
      </c>
      <c r="H305" s="25" t="s">
        <v>19</v>
      </c>
      <c r="I305" s="29">
        <f t="shared" ref="I305:I327" si="13">IFERROR(F305/C305,0)</f>
        <v>0.2</v>
      </c>
      <c r="J305" s="126" t="s">
        <v>1061</v>
      </c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22.5" customHeight="1">
      <c r="A306" s="126" t="s">
        <v>1250</v>
      </c>
      <c r="B306" s="137" t="s">
        <v>1230</v>
      </c>
      <c r="C306" s="125">
        <v>8.0E7</v>
      </c>
      <c r="D306" s="125">
        <v>6.2E7</v>
      </c>
      <c r="E306" s="125">
        <v>6.5E7</v>
      </c>
      <c r="F306" s="138">
        <f t="shared" si="12"/>
        <v>15000000</v>
      </c>
      <c r="G306" s="23" t="s">
        <v>15</v>
      </c>
      <c r="H306" s="25" t="s">
        <v>19</v>
      </c>
      <c r="I306" s="29">
        <f t="shared" si="13"/>
        <v>0.1875</v>
      </c>
      <c r="J306" s="126" t="s">
        <v>1251</v>
      </c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22.5" customHeight="1">
      <c r="A307" s="126" t="s">
        <v>1253</v>
      </c>
      <c r="B307" s="137" t="s">
        <v>1255</v>
      </c>
      <c r="C307" s="125">
        <v>3.0E7</v>
      </c>
      <c r="D307" s="125">
        <v>2.8E7</v>
      </c>
      <c r="E307" s="125">
        <v>2.8E7</v>
      </c>
      <c r="F307" s="138">
        <f t="shared" si="12"/>
        <v>2000000</v>
      </c>
      <c r="G307" s="23" t="s">
        <v>15</v>
      </c>
      <c r="H307" s="25" t="s">
        <v>19</v>
      </c>
      <c r="I307" s="29">
        <f t="shared" si="13"/>
        <v>0.06666666667</v>
      </c>
      <c r="J307" s="126" t="s">
        <v>1256</v>
      </c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22.5" customHeight="1">
      <c r="A308" s="126" t="s">
        <v>1258</v>
      </c>
      <c r="B308" s="137" t="s">
        <v>1255</v>
      </c>
      <c r="C308" s="125">
        <v>3.0E7</v>
      </c>
      <c r="D308" s="125">
        <v>2.5E7</v>
      </c>
      <c r="E308" s="125">
        <v>2.5E7</v>
      </c>
      <c r="F308" s="138">
        <f t="shared" si="12"/>
        <v>5000000</v>
      </c>
      <c r="G308" s="23" t="s">
        <v>15</v>
      </c>
      <c r="H308" s="25" t="s">
        <v>19</v>
      </c>
      <c r="I308" s="29">
        <f t="shared" si="13"/>
        <v>0.1666666667</v>
      </c>
      <c r="J308" s="163" t="s">
        <v>1061</v>
      </c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22.5" customHeight="1">
      <c r="A309" s="126" t="s">
        <v>1261</v>
      </c>
      <c r="B309" s="137" t="s">
        <v>1255</v>
      </c>
      <c r="C309" s="125">
        <v>7.5E7</v>
      </c>
      <c r="D309" s="138"/>
      <c r="E309" s="125">
        <v>7.5E7</v>
      </c>
      <c r="F309" s="138">
        <f t="shared" si="12"/>
        <v>0</v>
      </c>
      <c r="G309" s="23" t="s">
        <v>24</v>
      </c>
      <c r="H309" s="25" t="s">
        <v>19</v>
      </c>
      <c r="I309" s="29">
        <f t="shared" si="13"/>
        <v>0</v>
      </c>
      <c r="J309" s="126" t="s">
        <v>1263</v>
      </c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22.5" customHeight="1">
      <c r="A310" s="126" t="s">
        <v>1264</v>
      </c>
      <c r="B310" s="137" t="s">
        <v>1255</v>
      </c>
      <c r="C310" s="125">
        <v>1.35E8</v>
      </c>
      <c r="D310" s="125">
        <v>9.0E7</v>
      </c>
      <c r="E310" s="125">
        <v>1.3E8</v>
      </c>
      <c r="F310" s="138">
        <f t="shared" si="12"/>
        <v>5000000</v>
      </c>
      <c r="G310" s="23" t="s">
        <v>24</v>
      </c>
      <c r="H310" s="25" t="s">
        <v>19</v>
      </c>
      <c r="I310" s="29">
        <f t="shared" si="13"/>
        <v>0.03703703704</v>
      </c>
      <c r="J310" s="126" t="s">
        <v>1266</v>
      </c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22.5" customHeight="1">
      <c r="A311" s="126" t="s">
        <v>1267</v>
      </c>
      <c r="B311" s="137" t="s">
        <v>1255</v>
      </c>
      <c r="C311" s="125">
        <v>2.2E7</v>
      </c>
      <c r="D311" s="138"/>
      <c r="E311" s="125">
        <v>2.2E7</v>
      </c>
      <c r="F311" s="138">
        <f t="shared" si="12"/>
        <v>0</v>
      </c>
      <c r="G311" s="23" t="s">
        <v>24</v>
      </c>
      <c r="H311" s="25" t="s">
        <v>19</v>
      </c>
      <c r="I311" s="29">
        <f t="shared" si="13"/>
        <v>0</v>
      </c>
      <c r="J311" s="126" t="s">
        <v>1263</v>
      </c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22.5" customHeight="1">
      <c r="A312" s="126" t="s">
        <v>1269</v>
      </c>
      <c r="B312" s="137" t="s">
        <v>1255</v>
      </c>
      <c r="C312" s="125">
        <v>3.9E7</v>
      </c>
      <c r="D312" s="125">
        <v>3.6E7</v>
      </c>
      <c r="E312" s="125">
        <v>3.8E7</v>
      </c>
      <c r="F312" s="138">
        <f t="shared" si="12"/>
        <v>1000000</v>
      </c>
      <c r="G312" s="23" t="s">
        <v>15</v>
      </c>
      <c r="H312" s="25" t="s">
        <v>19</v>
      </c>
      <c r="I312" s="29">
        <f t="shared" si="13"/>
        <v>0.02564102564</v>
      </c>
      <c r="J312" s="126" t="s">
        <v>1251</v>
      </c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22.5" customHeight="1">
      <c r="A313" s="126" t="s">
        <v>1272</v>
      </c>
      <c r="B313" s="139">
        <v>46062.0</v>
      </c>
      <c r="C313" s="125">
        <v>6.5E7</v>
      </c>
      <c r="D313" s="125">
        <v>4.5E7</v>
      </c>
      <c r="E313" s="125">
        <v>5.5E7</v>
      </c>
      <c r="F313" s="138">
        <f t="shared" si="12"/>
        <v>10000000</v>
      </c>
      <c r="G313" s="23" t="s">
        <v>38</v>
      </c>
      <c r="H313" s="25" t="s">
        <v>19</v>
      </c>
      <c r="I313" s="29">
        <f t="shared" si="13"/>
        <v>0.1538461538</v>
      </c>
      <c r="J313" s="126" t="s">
        <v>1114</v>
      </c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22.5" customHeight="1">
      <c r="A314" s="126" t="s">
        <v>1274</v>
      </c>
      <c r="B314" s="139">
        <v>46062.0</v>
      </c>
      <c r="C314" s="125">
        <v>1.0E8</v>
      </c>
      <c r="D314" s="125">
        <v>6.5E7</v>
      </c>
      <c r="E314" s="125">
        <v>7.0E7</v>
      </c>
      <c r="F314" s="138">
        <f t="shared" si="12"/>
        <v>30000000</v>
      </c>
      <c r="G314" s="23" t="s">
        <v>38</v>
      </c>
      <c r="H314" s="25" t="s">
        <v>19</v>
      </c>
      <c r="I314" s="29">
        <f t="shared" si="13"/>
        <v>0.3</v>
      </c>
      <c r="J314" s="126" t="s">
        <v>1276</v>
      </c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22.5" customHeight="1">
      <c r="A315" s="164" t="s">
        <v>1278</v>
      </c>
      <c r="B315" s="139">
        <v>46062.0</v>
      </c>
      <c r="C315" s="165">
        <v>5.0E7</v>
      </c>
      <c r="D315" s="166"/>
      <c r="E315" s="165">
        <v>5.0E7</v>
      </c>
      <c r="F315" s="138">
        <f t="shared" si="12"/>
        <v>0</v>
      </c>
      <c r="G315" s="23" t="s">
        <v>24</v>
      </c>
      <c r="H315" s="25" t="s">
        <v>19</v>
      </c>
      <c r="I315" s="29">
        <f t="shared" si="13"/>
        <v>0</v>
      </c>
      <c r="J315" s="164" t="s">
        <v>1280</v>
      </c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</row>
    <row r="316" ht="22.5" customHeight="1">
      <c r="A316" s="164" t="s">
        <v>1281</v>
      </c>
      <c r="B316" s="139">
        <v>46062.0</v>
      </c>
      <c r="C316" s="165">
        <v>6.5E7</v>
      </c>
      <c r="D316" s="165">
        <v>5.5E7</v>
      </c>
      <c r="E316" s="165">
        <v>5.5E7</v>
      </c>
      <c r="F316" s="138">
        <f t="shared" si="12"/>
        <v>10000000</v>
      </c>
      <c r="G316" s="23" t="s">
        <v>15</v>
      </c>
      <c r="H316" s="25" t="s">
        <v>19</v>
      </c>
      <c r="I316" s="29">
        <f t="shared" si="13"/>
        <v>0.1538461538</v>
      </c>
      <c r="J316" s="126" t="s">
        <v>1114</v>
      </c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</row>
    <row r="317" ht="22.5" customHeight="1">
      <c r="A317" s="164" t="s">
        <v>1285</v>
      </c>
      <c r="B317" s="139">
        <v>46062.0</v>
      </c>
      <c r="C317" s="165">
        <v>2.5E7</v>
      </c>
      <c r="D317" s="165">
        <v>2.0E7</v>
      </c>
      <c r="E317" s="165">
        <v>2.1E7</v>
      </c>
      <c r="F317" s="138">
        <f t="shared" si="12"/>
        <v>4000000</v>
      </c>
      <c r="G317" s="23" t="s">
        <v>15</v>
      </c>
      <c r="H317" s="25" t="s">
        <v>19</v>
      </c>
      <c r="I317" s="29">
        <f t="shared" si="13"/>
        <v>0.16</v>
      </c>
      <c r="J317" s="164" t="s">
        <v>886</v>
      </c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</row>
    <row r="318" ht="22.5" customHeight="1">
      <c r="A318" s="164" t="s">
        <v>1288</v>
      </c>
      <c r="B318" s="139">
        <v>46062.0</v>
      </c>
      <c r="C318" s="165">
        <v>2.6E7</v>
      </c>
      <c r="D318" s="165">
        <v>2.2E7</v>
      </c>
      <c r="E318" s="165">
        <v>2.5E7</v>
      </c>
      <c r="F318" s="138">
        <f t="shared" si="12"/>
        <v>1000000</v>
      </c>
      <c r="G318" s="23" t="s">
        <v>15</v>
      </c>
      <c r="H318" s="25" t="s">
        <v>19</v>
      </c>
      <c r="I318" s="29">
        <f t="shared" si="13"/>
        <v>0.03846153846</v>
      </c>
      <c r="J318" s="126" t="s">
        <v>1290</v>
      </c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</row>
    <row r="319" ht="22.5" customHeight="1">
      <c r="A319" s="164" t="s">
        <v>1291</v>
      </c>
      <c r="B319" s="139">
        <v>46062.0</v>
      </c>
      <c r="C319" s="165">
        <v>6.0E7</v>
      </c>
      <c r="D319" s="165">
        <v>5.0E7</v>
      </c>
      <c r="E319" s="165">
        <v>5.0E7</v>
      </c>
      <c r="F319" s="138">
        <f t="shared" si="12"/>
        <v>10000000</v>
      </c>
      <c r="G319" s="23" t="s">
        <v>15</v>
      </c>
      <c r="H319" s="25" t="s">
        <v>19</v>
      </c>
      <c r="I319" s="29">
        <f t="shared" si="13"/>
        <v>0.1666666667</v>
      </c>
      <c r="J319" s="126" t="s">
        <v>1114</v>
      </c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</row>
    <row r="320" ht="22.5" customHeight="1">
      <c r="A320" s="164" t="s">
        <v>1293</v>
      </c>
      <c r="B320" s="139">
        <v>46062.0</v>
      </c>
      <c r="C320" s="165">
        <v>1.5E7</v>
      </c>
      <c r="D320" s="165">
        <v>1.2E7</v>
      </c>
      <c r="E320" s="165">
        <v>1.2E7</v>
      </c>
      <c r="F320" s="138">
        <f t="shared" si="12"/>
        <v>3000000</v>
      </c>
      <c r="G320" s="23" t="s">
        <v>15</v>
      </c>
      <c r="H320" s="25" t="s">
        <v>19</v>
      </c>
      <c r="I320" s="29">
        <f t="shared" si="13"/>
        <v>0.2</v>
      </c>
      <c r="J320" s="164" t="s">
        <v>886</v>
      </c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</row>
    <row r="321" ht="22.5" customHeight="1">
      <c r="A321" s="164" t="s">
        <v>1296</v>
      </c>
      <c r="B321" s="139">
        <v>46062.0</v>
      </c>
      <c r="C321" s="165">
        <v>4.5E7</v>
      </c>
      <c r="D321" s="165">
        <v>4.0E7</v>
      </c>
      <c r="E321" s="165">
        <v>4.5E7</v>
      </c>
      <c r="F321" s="138">
        <f t="shared" si="12"/>
        <v>0</v>
      </c>
      <c r="G321" s="23" t="s">
        <v>15</v>
      </c>
      <c r="H321" s="25" t="s">
        <v>19</v>
      </c>
      <c r="I321" s="29">
        <f t="shared" si="13"/>
        <v>0</v>
      </c>
      <c r="J321" s="164" t="s">
        <v>1297</v>
      </c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</row>
    <row r="322" ht="22.5" customHeight="1">
      <c r="A322" s="164" t="s">
        <v>1299</v>
      </c>
      <c r="B322" s="139">
        <v>46062.0</v>
      </c>
      <c r="C322" s="165">
        <v>4.5E7</v>
      </c>
      <c r="D322" s="165"/>
      <c r="E322" s="165">
        <v>4.5E7</v>
      </c>
      <c r="F322" s="138">
        <f t="shared" si="12"/>
        <v>0</v>
      </c>
      <c r="G322" s="23" t="s">
        <v>24</v>
      </c>
      <c r="H322" s="25" t="s">
        <v>19</v>
      </c>
      <c r="I322" s="29">
        <f t="shared" si="13"/>
        <v>0</v>
      </c>
      <c r="J322" s="164" t="s">
        <v>1300</v>
      </c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</row>
    <row r="323" ht="22.5" customHeight="1">
      <c r="A323" s="164" t="s">
        <v>1302</v>
      </c>
      <c r="B323" s="139">
        <v>46062.0</v>
      </c>
      <c r="C323" s="165">
        <v>4.5E7</v>
      </c>
      <c r="D323" s="165">
        <v>4.0E7</v>
      </c>
      <c r="E323" s="165">
        <v>4.1E7</v>
      </c>
      <c r="F323" s="138">
        <f t="shared" si="12"/>
        <v>4000000</v>
      </c>
      <c r="G323" s="23" t="s">
        <v>15</v>
      </c>
      <c r="H323" s="25" t="s">
        <v>19</v>
      </c>
      <c r="I323" s="29">
        <f t="shared" si="13"/>
        <v>0.08888888889</v>
      </c>
      <c r="J323" s="164" t="s">
        <v>1114</v>
      </c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</row>
    <row r="324" ht="22.5" customHeight="1">
      <c r="A324" s="164" t="s">
        <v>1304</v>
      </c>
      <c r="B324" s="139">
        <v>46062.0</v>
      </c>
      <c r="C324" s="165">
        <v>3.8E7</v>
      </c>
      <c r="D324" s="165">
        <v>3.0E7</v>
      </c>
      <c r="E324" s="165">
        <v>3.5E7</v>
      </c>
      <c r="F324" s="138">
        <f t="shared" si="12"/>
        <v>3000000</v>
      </c>
      <c r="G324" s="23" t="s">
        <v>24</v>
      </c>
      <c r="H324" s="25" t="s">
        <v>19</v>
      </c>
      <c r="I324" s="29">
        <f t="shared" si="13"/>
        <v>0.07894736842</v>
      </c>
      <c r="J324" s="164" t="s">
        <v>1305</v>
      </c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</row>
    <row r="325" ht="22.5" customHeight="1">
      <c r="A325" s="164" t="s">
        <v>1306</v>
      </c>
      <c r="B325" s="139">
        <v>46062.0</v>
      </c>
      <c r="C325" s="165">
        <v>4.5E7</v>
      </c>
      <c r="D325" s="165">
        <v>3.6E7</v>
      </c>
      <c r="E325" s="165">
        <v>3.6E7</v>
      </c>
      <c r="F325" s="138">
        <f t="shared" si="12"/>
        <v>9000000</v>
      </c>
      <c r="G325" s="23" t="s">
        <v>15</v>
      </c>
      <c r="H325" s="25" t="s">
        <v>19</v>
      </c>
      <c r="I325" s="29">
        <f t="shared" si="13"/>
        <v>0.2</v>
      </c>
      <c r="J325" s="164" t="s">
        <v>1114</v>
      </c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</row>
    <row r="326" ht="22.5" customHeight="1">
      <c r="A326" s="164" t="s">
        <v>1308</v>
      </c>
      <c r="B326" s="139">
        <v>46243.0</v>
      </c>
      <c r="C326" s="165">
        <v>3.5E7</v>
      </c>
      <c r="D326" s="165">
        <v>2.8E7</v>
      </c>
      <c r="E326" s="165">
        <v>2.8E7</v>
      </c>
      <c r="F326" s="138">
        <f t="shared" si="12"/>
        <v>7000000</v>
      </c>
      <c r="G326" s="23" t="s">
        <v>15</v>
      </c>
      <c r="H326" s="25" t="s">
        <v>19</v>
      </c>
      <c r="I326" s="29">
        <f t="shared" si="13"/>
        <v>0.2</v>
      </c>
      <c r="J326" s="164" t="s">
        <v>1114</v>
      </c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</row>
    <row r="327" ht="22.5" customHeight="1">
      <c r="A327" s="164" t="s">
        <v>1311</v>
      </c>
      <c r="B327" s="139">
        <v>46243.0</v>
      </c>
      <c r="C327" s="165">
        <v>6.5E7</v>
      </c>
      <c r="D327" s="165">
        <v>5.0E7</v>
      </c>
      <c r="E327" s="165">
        <v>6.0E7</v>
      </c>
      <c r="F327" s="138">
        <f t="shared" si="12"/>
        <v>5000000</v>
      </c>
      <c r="G327" s="23" t="s">
        <v>38</v>
      </c>
      <c r="H327" s="25" t="s">
        <v>19</v>
      </c>
      <c r="I327" s="29">
        <f t="shared" si="13"/>
        <v>0.07692307692</v>
      </c>
      <c r="J327" s="164" t="s">
        <v>1114</v>
      </c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</row>
    <row r="328" ht="22.5" customHeight="1">
      <c r="A328" s="164" t="s">
        <v>1313</v>
      </c>
      <c r="B328" s="139">
        <v>46335.0</v>
      </c>
      <c r="C328" s="165">
        <v>6.5E7</v>
      </c>
      <c r="D328" s="165">
        <v>5.0E7</v>
      </c>
      <c r="E328" s="165">
        <v>5.0E7</v>
      </c>
      <c r="F328" s="138">
        <f t="shared" si="12"/>
        <v>15000000</v>
      </c>
      <c r="G328" s="23" t="s">
        <v>15</v>
      </c>
      <c r="H328" s="25" t="s">
        <v>19</v>
      </c>
      <c r="I328" s="29"/>
      <c r="J328" s="164" t="s">
        <v>1315</v>
      </c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</row>
    <row r="329" ht="22.5" customHeight="1">
      <c r="A329" s="164" t="s">
        <v>1317</v>
      </c>
      <c r="B329" s="139">
        <v>46335.0</v>
      </c>
      <c r="C329" s="165">
        <v>4.0E7</v>
      </c>
      <c r="D329" s="165">
        <v>3.0E7</v>
      </c>
      <c r="E329" s="165">
        <v>3.0E7</v>
      </c>
      <c r="F329" s="138">
        <f t="shared" si="12"/>
        <v>10000000</v>
      </c>
      <c r="G329" s="23" t="s">
        <v>15</v>
      </c>
      <c r="H329" s="25" t="s">
        <v>19</v>
      </c>
      <c r="I329" s="29"/>
      <c r="J329" s="164" t="s">
        <v>1318</v>
      </c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</row>
    <row r="330" ht="22.5" customHeight="1">
      <c r="A330" s="164" t="s">
        <v>1319</v>
      </c>
      <c r="B330" s="139">
        <v>46335.0</v>
      </c>
      <c r="C330" s="165">
        <v>4.5E7</v>
      </c>
      <c r="D330" s="165">
        <v>3.8E7</v>
      </c>
      <c r="E330" s="165">
        <v>4.3E7</v>
      </c>
      <c r="F330" s="138">
        <f t="shared" si="12"/>
        <v>2000000</v>
      </c>
      <c r="G330" s="23" t="s">
        <v>38</v>
      </c>
      <c r="H330" s="25" t="s">
        <v>19</v>
      </c>
      <c r="I330" s="29"/>
      <c r="J330" s="164" t="s">
        <v>1114</v>
      </c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</row>
    <row r="331" ht="22.5" customHeight="1">
      <c r="A331" s="164" t="s">
        <v>1320</v>
      </c>
      <c r="B331" s="139">
        <v>46335.0</v>
      </c>
      <c r="C331" s="165">
        <v>2.5E7</v>
      </c>
      <c r="D331" s="165">
        <v>2.0E7</v>
      </c>
      <c r="E331" s="165">
        <v>2.0E7</v>
      </c>
      <c r="F331" s="138">
        <f t="shared" si="12"/>
        <v>5000000</v>
      </c>
      <c r="G331" s="23" t="s">
        <v>15</v>
      </c>
      <c r="H331" s="25" t="s">
        <v>19</v>
      </c>
      <c r="I331" s="29"/>
      <c r="J331" s="164" t="s">
        <v>1315</v>
      </c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</row>
    <row r="332" ht="22.5" customHeight="1">
      <c r="A332" s="164" t="s">
        <v>1321</v>
      </c>
      <c r="B332" s="139">
        <v>46335.0</v>
      </c>
      <c r="C332" s="165">
        <v>7.0E7</v>
      </c>
      <c r="D332" s="165">
        <v>6.4E7</v>
      </c>
      <c r="E332" s="165">
        <v>6.8E7</v>
      </c>
      <c r="F332" s="138">
        <f t="shared" si="12"/>
        <v>2000000</v>
      </c>
      <c r="G332" s="23" t="s">
        <v>24</v>
      </c>
      <c r="H332" s="25" t="s">
        <v>19</v>
      </c>
      <c r="I332" s="29"/>
      <c r="J332" s="164" t="s">
        <v>1322</v>
      </c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</row>
    <row r="333" ht="22.5" customHeight="1">
      <c r="A333" s="164" t="s">
        <v>1323</v>
      </c>
      <c r="B333" s="139">
        <v>46335.0</v>
      </c>
      <c r="C333" s="165">
        <v>4.0E7</v>
      </c>
      <c r="D333" s="165">
        <v>3.0E7</v>
      </c>
      <c r="E333" s="165">
        <v>3.0E7</v>
      </c>
      <c r="F333" s="138">
        <f t="shared" si="12"/>
        <v>10000000</v>
      </c>
      <c r="G333" s="23" t="s">
        <v>15</v>
      </c>
      <c r="H333" s="25" t="s">
        <v>19</v>
      </c>
      <c r="I333" s="29"/>
      <c r="J333" s="164" t="s">
        <v>1315</v>
      </c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</row>
    <row r="334" ht="22.5" customHeight="1">
      <c r="A334" s="164" t="s">
        <v>1324</v>
      </c>
      <c r="B334" s="139">
        <v>46335.0</v>
      </c>
      <c r="C334" s="165">
        <v>4.0E7</v>
      </c>
      <c r="D334" s="165">
        <v>3.2E7</v>
      </c>
      <c r="E334" s="165">
        <v>3.2E7</v>
      </c>
      <c r="F334" s="138">
        <f t="shared" si="12"/>
        <v>8000000</v>
      </c>
      <c r="G334" s="23" t="s">
        <v>15</v>
      </c>
      <c r="H334" s="25" t="s">
        <v>19</v>
      </c>
      <c r="I334" s="29"/>
      <c r="J334" s="164" t="s">
        <v>1315</v>
      </c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</row>
    <row r="335" ht="22.5" customHeight="1">
      <c r="A335" s="164" t="s">
        <v>1325</v>
      </c>
      <c r="B335" s="137" t="s">
        <v>724</v>
      </c>
      <c r="C335" s="165">
        <v>1.5E8</v>
      </c>
      <c r="D335" s="165">
        <v>9.0E7</v>
      </c>
      <c r="E335" s="165">
        <v>1.25E8</v>
      </c>
      <c r="F335" s="138">
        <f t="shared" si="12"/>
        <v>25000000</v>
      </c>
      <c r="G335" s="23" t="s">
        <v>38</v>
      </c>
      <c r="H335" s="25" t="s">
        <v>19</v>
      </c>
      <c r="I335" s="182"/>
      <c r="J335" s="164" t="s">
        <v>1326</v>
      </c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</row>
    <row r="336" ht="22.5" customHeight="1">
      <c r="A336" s="164" t="s">
        <v>1327</v>
      </c>
      <c r="B336" s="137" t="s">
        <v>724</v>
      </c>
      <c r="C336" s="165">
        <v>3.5E7</v>
      </c>
      <c r="D336" s="165">
        <v>2.75E7</v>
      </c>
      <c r="E336" s="165">
        <v>3.5E7</v>
      </c>
      <c r="F336" s="138">
        <f t="shared" si="12"/>
        <v>0</v>
      </c>
      <c r="G336" s="23" t="s">
        <v>38</v>
      </c>
      <c r="H336" s="25" t="s">
        <v>19</v>
      </c>
      <c r="I336" s="182"/>
      <c r="J336" s="164" t="s">
        <v>1328</v>
      </c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</row>
    <row r="337" ht="22.5" customHeight="1">
      <c r="A337" s="164" t="s">
        <v>1329</v>
      </c>
      <c r="B337" s="137" t="s">
        <v>724</v>
      </c>
      <c r="C337" s="165">
        <v>4.0E7</v>
      </c>
      <c r="D337" s="165">
        <v>3.2E7</v>
      </c>
      <c r="E337" s="165">
        <v>3.2E7</v>
      </c>
      <c r="F337" s="138">
        <f t="shared" si="12"/>
        <v>8000000</v>
      </c>
      <c r="G337" s="23" t="s">
        <v>15</v>
      </c>
      <c r="H337" s="25" t="s">
        <v>19</v>
      </c>
      <c r="I337" s="182"/>
      <c r="J337" s="164" t="s">
        <v>1114</v>
      </c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</row>
    <row r="338" ht="22.5" customHeight="1">
      <c r="A338" s="164" t="s">
        <v>1330</v>
      </c>
      <c r="B338" s="137" t="s">
        <v>724</v>
      </c>
      <c r="C338" s="165">
        <v>2.5E7</v>
      </c>
      <c r="D338" s="165">
        <v>1.8E7</v>
      </c>
      <c r="E338" s="165">
        <v>1.8E7</v>
      </c>
      <c r="F338" s="138">
        <f t="shared" si="12"/>
        <v>7000000</v>
      </c>
      <c r="G338" s="23" t="s">
        <v>15</v>
      </c>
      <c r="H338" s="25" t="s">
        <v>19</v>
      </c>
      <c r="I338" s="182"/>
      <c r="J338" s="164" t="s">
        <v>1331</v>
      </c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</row>
    <row r="339" ht="22.5" customHeight="1">
      <c r="A339" s="164" t="s">
        <v>1332</v>
      </c>
      <c r="B339" s="137" t="s">
        <v>724</v>
      </c>
      <c r="C339" s="165">
        <v>5.0E7</v>
      </c>
      <c r="D339" s="166"/>
      <c r="E339" s="166"/>
      <c r="F339" s="138">
        <f t="shared" si="12"/>
        <v>50000000</v>
      </c>
      <c r="G339" s="23" t="s">
        <v>24</v>
      </c>
      <c r="H339" s="25" t="s">
        <v>19</v>
      </c>
      <c r="I339" s="182"/>
      <c r="J339" s="164" t="s">
        <v>1333</v>
      </c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</row>
    <row r="340" ht="22.5" customHeight="1">
      <c r="A340" s="164" t="s">
        <v>1334</v>
      </c>
      <c r="B340" s="137" t="s">
        <v>724</v>
      </c>
      <c r="C340" s="165">
        <v>5.0E7</v>
      </c>
      <c r="D340" s="165">
        <v>4.0E7</v>
      </c>
      <c r="E340" s="165">
        <v>4.0E7</v>
      </c>
      <c r="F340" s="138">
        <f t="shared" si="12"/>
        <v>10000000</v>
      </c>
      <c r="G340" s="23" t="s">
        <v>15</v>
      </c>
      <c r="H340" s="25" t="s">
        <v>19</v>
      </c>
      <c r="I340" s="182"/>
      <c r="J340" s="164" t="s">
        <v>1315</v>
      </c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</row>
    <row r="341" ht="22.5" customHeight="1">
      <c r="A341" s="164" t="s">
        <v>1335</v>
      </c>
      <c r="B341" s="137" t="s">
        <v>724</v>
      </c>
      <c r="C341" s="165">
        <v>1.5E7</v>
      </c>
      <c r="D341" s="165">
        <v>1.2E7</v>
      </c>
      <c r="E341" s="165">
        <v>1.2E7</v>
      </c>
      <c r="F341" s="138">
        <f t="shared" si="12"/>
        <v>3000000</v>
      </c>
      <c r="G341" s="23" t="s">
        <v>15</v>
      </c>
      <c r="H341" s="25" t="s">
        <v>19</v>
      </c>
      <c r="I341" s="182"/>
      <c r="J341" s="164" t="s">
        <v>886</v>
      </c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</row>
    <row r="342" ht="22.5" customHeight="1">
      <c r="A342" s="164" t="s">
        <v>1336</v>
      </c>
      <c r="B342" s="137" t="s">
        <v>724</v>
      </c>
      <c r="C342" s="165">
        <v>2.0E7</v>
      </c>
      <c r="D342" s="166"/>
      <c r="E342" s="166"/>
      <c r="F342" s="138">
        <f t="shared" si="12"/>
        <v>20000000</v>
      </c>
      <c r="G342" s="23" t="s">
        <v>24</v>
      </c>
      <c r="H342" s="25" t="s">
        <v>19</v>
      </c>
      <c r="I342" s="182"/>
      <c r="J342" s="164" t="s">
        <v>1337</v>
      </c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</row>
    <row r="343" ht="22.5" customHeight="1">
      <c r="A343" s="164" t="s">
        <v>1338</v>
      </c>
      <c r="B343" s="137" t="s">
        <v>724</v>
      </c>
      <c r="C343" s="165">
        <v>2.5E7</v>
      </c>
      <c r="D343" s="165">
        <v>2.0E7</v>
      </c>
      <c r="E343" s="165">
        <v>2.0E7</v>
      </c>
      <c r="F343" s="138">
        <f t="shared" si="12"/>
        <v>5000000</v>
      </c>
      <c r="G343" s="23" t="s">
        <v>15</v>
      </c>
      <c r="H343" s="25" t="s">
        <v>19</v>
      </c>
      <c r="I343" s="182"/>
      <c r="J343" s="164" t="s">
        <v>1315</v>
      </c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</row>
    <row r="344" ht="22.5" customHeight="1">
      <c r="A344" s="183" t="s">
        <v>1339</v>
      </c>
      <c r="B344" s="184" t="s">
        <v>1340</v>
      </c>
      <c r="C344" s="185">
        <v>6.0E7</v>
      </c>
      <c r="D344" s="185">
        <v>4.5E7</v>
      </c>
      <c r="E344" s="185">
        <v>4.5E7</v>
      </c>
      <c r="F344" s="138">
        <f t="shared" si="12"/>
        <v>15000000</v>
      </c>
      <c r="G344" s="23" t="s">
        <v>15</v>
      </c>
      <c r="H344" s="25" t="s">
        <v>19</v>
      </c>
      <c r="I344" s="186"/>
      <c r="J344" s="164" t="s">
        <v>1341</v>
      </c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</row>
    <row r="345" ht="22.5" customHeight="1">
      <c r="A345" s="183" t="s">
        <v>1342</v>
      </c>
      <c r="B345" s="184" t="s">
        <v>1340</v>
      </c>
      <c r="C345" s="185">
        <v>4.0E7</v>
      </c>
      <c r="D345" s="185">
        <v>3.0E7</v>
      </c>
      <c r="E345" s="185">
        <v>3.5E7</v>
      </c>
      <c r="F345" s="138">
        <f t="shared" si="12"/>
        <v>5000000</v>
      </c>
      <c r="G345" s="23" t="s">
        <v>38</v>
      </c>
      <c r="H345" s="25" t="s">
        <v>19</v>
      </c>
      <c r="I345" s="186"/>
      <c r="J345" s="183" t="s">
        <v>1114</v>
      </c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</row>
    <row r="346" ht="22.5" customHeight="1">
      <c r="A346" s="183" t="s">
        <v>1343</v>
      </c>
      <c r="B346" s="184" t="s">
        <v>1340</v>
      </c>
      <c r="C346" s="185">
        <v>3.5E7</v>
      </c>
      <c r="D346" s="185">
        <v>3.0E7</v>
      </c>
      <c r="E346" s="185">
        <v>3.4E7</v>
      </c>
      <c r="F346" s="138">
        <f t="shared" si="12"/>
        <v>1000000</v>
      </c>
      <c r="G346" s="23" t="s">
        <v>38</v>
      </c>
      <c r="H346" s="25" t="s">
        <v>19</v>
      </c>
      <c r="I346" s="186"/>
      <c r="J346" s="183" t="s">
        <v>1114</v>
      </c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</row>
    <row r="347" ht="22.5" customHeight="1">
      <c r="A347" s="183" t="s">
        <v>1344</v>
      </c>
      <c r="B347" s="184" t="s">
        <v>1340</v>
      </c>
      <c r="C347" s="185">
        <v>4.5E7</v>
      </c>
      <c r="D347" s="185">
        <v>3.7E7</v>
      </c>
      <c r="E347" s="185">
        <v>4.25E7</v>
      </c>
      <c r="F347" s="138">
        <f t="shared" si="12"/>
        <v>2500000</v>
      </c>
      <c r="G347" s="23" t="s">
        <v>38</v>
      </c>
      <c r="H347" s="25" t="s">
        <v>19</v>
      </c>
      <c r="I347" s="186"/>
      <c r="J347" s="183" t="s">
        <v>1114</v>
      </c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</row>
    <row r="348" ht="22.5" customHeight="1">
      <c r="A348" s="183" t="s">
        <v>1345</v>
      </c>
      <c r="B348" s="184" t="s">
        <v>1340</v>
      </c>
      <c r="C348" s="185">
        <v>2.2E7</v>
      </c>
      <c r="D348" s="185">
        <v>1.75E7</v>
      </c>
      <c r="E348" s="185">
        <v>2.0E7</v>
      </c>
      <c r="F348" s="138">
        <f t="shared" si="12"/>
        <v>2000000</v>
      </c>
      <c r="G348" s="23" t="s">
        <v>38</v>
      </c>
      <c r="H348" s="25" t="s">
        <v>19</v>
      </c>
      <c r="I348" s="186"/>
      <c r="J348" s="183" t="s">
        <v>1114</v>
      </c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</row>
    <row r="349" ht="22.5" customHeight="1">
      <c r="A349" s="183" t="s">
        <v>1346</v>
      </c>
      <c r="B349" s="184" t="s">
        <v>1340</v>
      </c>
      <c r="C349" s="185">
        <v>4.8E7</v>
      </c>
      <c r="D349" s="185">
        <v>3.8E7</v>
      </c>
      <c r="E349" s="185">
        <v>3.8E7</v>
      </c>
      <c r="F349" s="138">
        <f t="shared" si="12"/>
        <v>10000000</v>
      </c>
      <c r="G349" s="23" t="s">
        <v>15</v>
      </c>
      <c r="H349" s="25" t="s">
        <v>19</v>
      </c>
      <c r="I349" s="186"/>
      <c r="J349" s="183" t="s">
        <v>1347</v>
      </c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</row>
    <row r="350" ht="22.5" customHeight="1">
      <c r="A350" s="183" t="s">
        <v>1348</v>
      </c>
      <c r="B350" s="184" t="s">
        <v>1340</v>
      </c>
      <c r="C350" s="185">
        <v>8.5E7</v>
      </c>
      <c r="D350" s="185">
        <v>6.0E7</v>
      </c>
      <c r="E350" s="185">
        <v>6.0E7</v>
      </c>
      <c r="F350" s="138">
        <f t="shared" si="12"/>
        <v>25000000</v>
      </c>
      <c r="G350" s="23" t="s">
        <v>15</v>
      </c>
      <c r="H350" s="25" t="s">
        <v>19</v>
      </c>
      <c r="I350" s="186"/>
      <c r="J350" s="183" t="s">
        <v>1347</v>
      </c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</row>
    <row r="351" ht="22.5" customHeight="1">
      <c r="A351" s="183" t="s">
        <v>1349</v>
      </c>
      <c r="B351" s="184" t="s">
        <v>1340</v>
      </c>
      <c r="C351" s="185">
        <v>6.0E7</v>
      </c>
      <c r="D351" s="185">
        <v>4.8E7</v>
      </c>
      <c r="E351" s="185">
        <v>5.2E7</v>
      </c>
      <c r="F351" s="138">
        <f t="shared" si="12"/>
        <v>8000000</v>
      </c>
      <c r="G351" s="23" t="s">
        <v>38</v>
      </c>
      <c r="H351" s="25" t="s">
        <v>19</v>
      </c>
      <c r="I351" s="186"/>
      <c r="J351" s="183" t="s">
        <v>1350</v>
      </c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</row>
    <row r="352" ht="22.5" customHeight="1">
      <c r="A352" s="187" t="s">
        <v>1351</v>
      </c>
      <c r="B352" s="184" t="s">
        <v>1340</v>
      </c>
      <c r="C352" s="188">
        <v>6.5E7</v>
      </c>
      <c r="D352" s="188">
        <v>5.2E7</v>
      </c>
      <c r="E352" s="188">
        <v>5.2E7</v>
      </c>
      <c r="F352" s="189">
        <f t="shared" si="12"/>
        <v>13000000</v>
      </c>
      <c r="G352" s="190" t="s">
        <v>15</v>
      </c>
      <c r="H352" s="191" t="s">
        <v>19</v>
      </c>
      <c r="I352" s="192"/>
      <c r="J352" s="187" t="s">
        <v>1352</v>
      </c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</row>
    <row r="353" ht="22.5" customHeight="1">
      <c r="A353" s="193" t="s">
        <v>1353</v>
      </c>
      <c r="B353" s="184" t="s">
        <v>1340</v>
      </c>
      <c r="C353" s="194">
        <v>5.0E7</v>
      </c>
      <c r="D353" s="195"/>
      <c r="E353" s="195"/>
      <c r="F353" s="196">
        <f t="shared" si="12"/>
        <v>50000000</v>
      </c>
      <c r="G353" s="197"/>
      <c r="H353" s="198" t="s">
        <v>19</v>
      </c>
      <c r="I353" s="199"/>
      <c r="J353" s="200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</row>
    <row r="354" ht="22.5" customHeight="1">
      <c r="A354" s="201"/>
      <c r="B354" s="201"/>
      <c r="C354" s="202"/>
      <c r="D354" s="202"/>
      <c r="E354" s="202"/>
      <c r="F354" s="189">
        <f t="shared" si="12"/>
        <v>0</v>
      </c>
      <c r="G354" s="203"/>
      <c r="H354" s="191" t="s">
        <v>19</v>
      </c>
      <c r="I354" s="192"/>
      <c r="J354" s="201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</row>
    <row r="355" ht="22.5" customHeight="1">
      <c r="A355" s="200"/>
      <c r="B355" s="200"/>
      <c r="C355" s="195"/>
      <c r="D355" s="195"/>
      <c r="E355" s="195"/>
      <c r="F355" s="196">
        <f t="shared" si="12"/>
        <v>0</v>
      </c>
      <c r="G355" s="197"/>
      <c r="H355" s="198" t="s">
        <v>19</v>
      </c>
      <c r="I355" s="199"/>
      <c r="J355" s="200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</row>
    <row r="356" ht="22.5" customHeight="1">
      <c r="A356" s="201"/>
      <c r="B356" s="201"/>
      <c r="C356" s="202"/>
      <c r="D356" s="202"/>
      <c r="E356" s="202"/>
      <c r="F356" s="189">
        <f t="shared" si="12"/>
        <v>0</v>
      </c>
      <c r="G356" s="203"/>
      <c r="H356" s="191" t="s">
        <v>19</v>
      </c>
      <c r="I356" s="192"/>
      <c r="J356" s="201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</row>
    <row r="357" ht="22.5" customHeight="1">
      <c r="A357" s="200"/>
      <c r="B357" s="200"/>
      <c r="C357" s="195"/>
      <c r="D357" s="195"/>
      <c r="E357" s="195"/>
      <c r="F357" s="196">
        <f t="shared" si="12"/>
        <v>0</v>
      </c>
      <c r="G357" s="197"/>
      <c r="H357" s="198" t="s">
        <v>19</v>
      </c>
      <c r="I357" s="199"/>
      <c r="J357" s="200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</row>
    <row r="358" ht="22.5" customHeight="1">
      <c r="A358" s="201"/>
      <c r="B358" s="201"/>
      <c r="C358" s="202"/>
      <c r="D358" s="202"/>
      <c r="E358" s="202"/>
      <c r="F358" s="189">
        <f t="shared" si="12"/>
        <v>0</v>
      </c>
      <c r="G358" s="203"/>
      <c r="H358" s="191" t="s">
        <v>19</v>
      </c>
      <c r="I358" s="192"/>
      <c r="J358" s="201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</row>
    <row r="359" ht="22.5" customHeight="1">
      <c r="A359" s="200"/>
      <c r="B359" s="200"/>
      <c r="C359" s="195"/>
      <c r="D359" s="195"/>
      <c r="E359" s="195"/>
      <c r="F359" s="196">
        <f t="shared" si="12"/>
        <v>0</v>
      </c>
      <c r="G359" s="197"/>
      <c r="H359" s="198" t="s">
        <v>19</v>
      </c>
      <c r="I359" s="199"/>
      <c r="J359" s="200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</row>
    <row r="360" ht="22.5" customHeight="1">
      <c r="A360" s="201"/>
      <c r="B360" s="201"/>
      <c r="C360" s="202"/>
      <c r="D360" s="202"/>
      <c r="E360" s="202"/>
      <c r="F360" s="189">
        <f t="shared" si="12"/>
        <v>0</v>
      </c>
      <c r="G360" s="203"/>
      <c r="H360" s="191" t="s">
        <v>19</v>
      </c>
      <c r="I360" s="192"/>
      <c r="J360" s="201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</row>
    <row r="361" ht="22.5" customHeight="1">
      <c r="A361" s="200"/>
      <c r="B361" s="200"/>
      <c r="C361" s="195"/>
      <c r="D361" s="195"/>
      <c r="E361" s="195"/>
      <c r="F361" s="196">
        <f t="shared" si="12"/>
        <v>0</v>
      </c>
      <c r="G361" s="197"/>
      <c r="H361" s="198" t="s">
        <v>19</v>
      </c>
      <c r="I361" s="199"/>
      <c r="J361" s="200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</row>
    <row r="362" ht="22.5" customHeight="1">
      <c r="A362" s="201"/>
      <c r="B362" s="201"/>
      <c r="C362" s="202"/>
      <c r="D362" s="202"/>
      <c r="E362" s="202"/>
      <c r="F362" s="189">
        <f t="shared" si="12"/>
        <v>0</v>
      </c>
      <c r="G362" s="203"/>
      <c r="H362" s="191" t="s">
        <v>19</v>
      </c>
      <c r="I362" s="192"/>
      <c r="J362" s="201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</row>
    <row r="363" ht="22.5" customHeight="1">
      <c r="A363" s="200"/>
      <c r="B363" s="200"/>
      <c r="C363" s="195"/>
      <c r="D363" s="195"/>
      <c r="E363" s="195"/>
      <c r="F363" s="196">
        <f t="shared" si="12"/>
        <v>0</v>
      </c>
      <c r="G363" s="197"/>
      <c r="H363" s="198" t="s">
        <v>19</v>
      </c>
      <c r="I363" s="199"/>
      <c r="J363" s="200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</row>
    <row r="364" ht="22.5" customHeight="1">
      <c r="A364" s="201"/>
      <c r="B364" s="201"/>
      <c r="C364" s="202"/>
      <c r="D364" s="202"/>
      <c r="E364" s="202"/>
      <c r="F364" s="189">
        <f t="shared" si="12"/>
        <v>0</v>
      </c>
      <c r="G364" s="203"/>
      <c r="H364" s="191" t="s">
        <v>19</v>
      </c>
      <c r="I364" s="192"/>
      <c r="J364" s="201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</row>
    <row r="365" ht="22.5" customHeight="1">
      <c r="A365" s="200"/>
      <c r="B365" s="200"/>
      <c r="C365" s="195"/>
      <c r="D365" s="195"/>
      <c r="E365" s="195"/>
      <c r="F365" s="196">
        <f t="shared" si="12"/>
        <v>0</v>
      </c>
      <c r="G365" s="197"/>
      <c r="H365" s="198" t="s">
        <v>19</v>
      </c>
      <c r="I365" s="199"/>
      <c r="J365" s="200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</row>
    <row r="366" ht="22.5" customHeight="1">
      <c r="A366" s="201"/>
      <c r="B366" s="201"/>
      <c r="C366" s="202"/>
      <c r="D366" s="202"/>
      <c r="E366" s="202"/>
      <c r="F366" s="189">
        <f t="shared" si="12"/>
        <v>0</v>
      </c>
      <c r="G366" s="203"/>
      <c r="H366" s="191" t="s">
        <v>19</v>
      </c>
      <c r="I366" s="192"/>
      <c r="J366" s="201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</row>
    <row r="367" ht="22.5" customHeight="1">
      <c r="A367" s="200"/>
      <c r="B367" s="200"/>
      <c r="C367" s="195"/>
      <c r="D367" s="195"/>
      <c r="E367" s="195"/>
      <c r="F367" s="196">
        <f t="shared" si="12"/>
        <v>0</v>
      </c>
      <c r="G367" s="197"/>
      <c r="H367" s="198" t="s">
        <v>19</v>
      </c>
      <c r="I367" s="199"/>
      <c r="J367" s="200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</row>
    <row r="368" ht="22.5" customHeight="1">
      <c r="A368" s="201"/>
      <c r="B368" s="201"/>
      <c r="C368" s="202"/>
      <c r="D368" s="202"/>
      <c r="E368" s="202"/>
      <c r="F368" s="189">
        <f t="shared" si="12"/>
        <v>0</v>
      </c>
      <c r="G368" s="203"/>
      <c r="H368" s="191" t="s">
        <v>19</v>
      </c>
      <c r="I368" s="192"/>
      <c r="J368" s="201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</row>
    <row r="369" ht="22.5" customHeight="1">
      <c r="A369" s="200"/>
      <c r="B369" s="200"/>
      <c r="C369" s="195"/>
      <c r="D369" s="195"/>
      <c r="E369" s="195"/>
      <c r="F369" s="196">
        <f t="shared" si="12"/>
        <v>0</v>
      </c>
      <c r="G369" s="197"/>
      <c r="H369" s="198" t="s">
        <v>19</v>
      </c>
      <c r="I369" s="199"/>
      <c r="J369" s="200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</row>
    <row r="370" ht="22.5" customHeight="1">
      <c r="A370" s="201"/>
      <c r="B370" s="201"/>
      <c r="C370" s="202"/>
      <c r="D370" s="202"/>
      <c r="E370" s="202"/>
      <c r="F370" s="189">
        <f t="shared" si="12"/>
        <v>0</v>
      </c>
      <c r="G370" s="203"/>
      <c r="H370" s="191" t="s">
        <v>19</v>
      </c>
      <c r="I370" s="192"/>
      <c r="J370" s="201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</row>
    <row r="371" ht="22.5" customHeight="1">
      <c r="A371" s="200"/>
      <c r="B371" s="200"/>
      <c r="C371" s="195"/>
      <c r="D371" s="195"/>
      <c r="E371" s="195"/>
      <c r="F371" s="196">
        <f t="shared" si="12"/>
        <v>0</v>
      </c>
      <c r="G371" s="197"/>
      <c r="H371" s="198" t="s">
        <v>19</v>
      </c>
      <c r="I371" s="199"/>
      <c r="J371" s="200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</row>
    <row r="372" ht="22.5" customHeight="1">
      <c r="A372" s="201"/>
      <c r="B372" s="201"/>
      <c r="C372" s="202"/>
      <c r="D372" s="202"/>
      <c r="E372" s="202"/>
      <c r="F372" s="189">
        <f t="shared" si="12"/>
        <v>0</v>
      </c>
      <c r="G372" s="203"/>
      <c r="H372" s="191" t="s">
        <v>19</v>
      </c>
      <c r="I372" s="192"/>
      <c r="J372" s="201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</row>
    <row r="373" ht="22.5" customHeight="1">
      <c r="A373" s="200"/>
      <c r="B373" s="200"/>
      <c r="C373" s="195"/>
      <c r="D373" s="195"/>
      <c r="E373" s="195"/>
      <c r="F373" s="196">
        <f t="shared" si="12"/>
        <v>0</v>
      </c>
      <c r="G373" s="197"/>
      <c r="H373" s="198" t="s">
        <v>19</v>
      </c>
      <c r="I373" s="199"/>
      <c r="J373" s="200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</row>
    <row r="374" ht="22.5" customHeight="1">
      <c r="A374" s="201"/>
      <c r="B374" s="201"/>
      <c r="C374" s="202"/>
      <c r="D374" s="202"/>
      <c r="E374" s="202"/>
      <c r="F374" s="189">
        <f t="shared" si="12"/>
        <v>0</v>
      </c>
      <c r="G374" s="203"/>
      <c r="H374" s="191" t="s">
        <v>19</v>
      </c>
      <c r="I374" s="192"/>
      <c r="J374" s="201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</row>
    <row r="375" ht="22.5" customHeight="1">
      <c r="A375" s="200"/>
      <c r="B375" s="200"/>
      <c r="C375" s="195"/>
      <c r="D375" s="195"/>
      <c r="E375" s="195"/>
      <c r="F375" s="196">
        <f t="shared" si="12"/>
        <v>0</v>
      </c>
      <c r="G375" s="197"/>
      <c r="H375" s="198" t="s">
        <v>19</v>
      </c>
      <c r="I375" s="199"/>
      <c r="J375" s="200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</row>
    <row r="376" ht="22.5" customHeight="1">
      <c r="A376" s="201"/>
      <c r="B376" s="201"/>
      <c r="C376" s="202"/>
      <c r="D376" s="202"/>
      <c r="E376" s="202"/>
      <c r="F376" s="189">
        <f t="shared" si="12"/>
        <v>0</v>
      </c>
      <c r="G376" s="203"/>
      <c r="H376" s="191" t="s">
        <v>19</v>
      </c>
      <c r="I376" s="192"/>
      <c r="J376" s="201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</row>
    <row r="377" ht="22.5" customHeight="1">
      <c r="A377" s="200"/>
      <c r="B377" s="200"/>
      <c r="C377" s="195"/>
      <c r="D377" s="195"/>
      <c r="E377" s="195"/>
      <c r="F377" s="196">
        <f t="shared" si="12"/>
        <v>0</v>
      </c>
      <c r="G377" s="197"/>
      <c r="H377" s="198" t="s">
        <v>19</v>
      </c>
      <c r="I377" s="199"/>
      <c r="J377" s="200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</row>
    <row r="378" ht="22.5" customHeight="1">
      <c r="A378" s="201"/>
      <c r="B378" s="201"/>
      <c r="C378" s="202"/>
      <c r="D378" s="202"/>
      <c r="E378" s="202"/>
      <c r="F378" s="189">
        <f t="shared" si="12"/>
        <v>0</v>
      </c>
      <c r="G378" s="203"/>
      <c r="H378" s="191" t="s">
        <v>19</v>
      </c>
      <c r="I378" s="192"/>
      <c r="J378" s="201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</row>
    <row r="379" ht="22.5" customHeight="1">
      <c r="A379" s="200"/>
      <c r="B379" s="200"/>
      <c r="C379" s="195"/>
      <c r="D379" s="195"/>
      <c r="E379" s="195"/>
      <c r="F379" s="196">
        <f t="shared" si="12"/>
        <v>0</v>
      </c>
      <c r="G379" s="197"/>
      <c r="H379" s="198" t="s">
        <v>19</v>
      </c>
      <c r="I379" s="199"/>
      <c r="J379" s="200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</row>
    <row r="380" ht="22.5" customHeight="1">
      <c r="A380" s="201"/>
      <c r="B380" s="201"/>
      <c r="C380" s="202"/>
      <c r="D380" s="202"/>
      <c r="E380" s="202"/>
      <c r="F380" s="189">
        <f t="shared" si="12"/>
        <v>0</v>
      </c>
      <c r="G380" s="203"/>
      <c r="H380" s="191" t="s">
        <v>19</v>
      </c>
      <c r="I380" s="192"/>
      <c r="J380" s="201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</row>
    <row r="381" ht="22.5" customHeight="1">
      <c r="A381" s="200"/>
      <c r="B381" s="200"/>
      <c r="C381" s="195"/>
      <c r="D381" s="195"/>
      <c r="E381" s="195"/>
      <c r="F381" s="196">
        <f t="shared" si="12"/>
        <v>0</v>
      </c>
      <c r="G381" s="197"/>
      <c r="H381" s="198" t="s">
        <v>19</v>
      </c>
      <c r="I381" s="199"/>
      <c r="J381" s="200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</row>
    <row r="382" ht="22.5" customHeight="1">
      <c r="A382" s="201"/>
      <c r="B382" s="201"/>
      <c r="C382" s="202"/>
      <c r="D382" s="202"/>
      <c r="E382" s="202"/>
      <c r="F382" s="189">
        <f t="shared" si="12"/>
        <v>0</v>
      </c>
      <c r="G382" s="203"/>
      <c r="H382" s="191" t="s">
        <v>19</v>
      </c>
      <c r="I382" s="192"/>
      <c r="J382" s="201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</row>
    <row r="383" ht="22.5" customHeight="1">
      <c r="A383" s="200"/>
      <c r="B383" s="200"/>
      <c r="C383" s="195"/>
      <c r="D383" s="195"/>
      <c r="E383" s="195"/>
      <c r="F383" s="196">
        <f t="shared" si="12"/>
        <v>0</v>
      </c>
      <c r="G383" s="197"/>
      <c r="H383" s="198" t="s">
        <v>19</v>
      </c>
      <c r="I383" s="199"/>
      <c r="J383" s="200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</row>
    <row r="384" ht="22.5" customHeight="1">
      <c r="A384" s="201"/>
      <c r="B384" s="201"/>
      <c r="C384" s="202"/>
      <c r="D384" s="202"/>
      <c r="E384" s="202"/>
      <c r="F384" s="189">
        <f t="shared" si="12"/>
        <v>0</v>
      </c>
      <c r="G384" s="203"/>
      <c r="H384" s="191" t="s">
        <v>19</v>
      </c>
      <c r="I384" s="192"/>
      <c r="J384" s="201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</row>
    <row r="385" ht="22.5" customHeight="1">
      <c r="A385" s="200"/>
      <c r="B385" s="200"/>
      <c r="C385" s="195"/>
      <c r="D385" s="195"/>
      <c r="E385" s="195"/>
      <c r="F385" s="196">
        <f t="shared" si="12"/>
        <v>0</v>
      </c>
      <c r="G385" s="197"/>
      <c r="H385" s="198" t="s">
        <v>19</v>
      </c>
      <c r="I385" s="199"/>
      <c r="J385" s="200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</row>
    <row r="386" ht="22.5" customHeight="1">
      <c r="A386" s="201"/>
      <c r="B386" s="201"/>
      <c r="C386" s="202"/>
      <c r="D386" s="202"/>
      <c r="E386" s="202"/>
      <c r="F386" s="189">
        <f t="shared" si="12"/>
        <v>0</v>
      </c>
      <c r="G386" s="203"/>
      <c r="H386" s="191" t="s">
        <v>19</v>
      </c>
      <c r="I386" s="192"/>
      <c r="J386" s="201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</row>
    <row r="387" ht="22.5" customHeight="1">
      <c r="A387" s="200"/>
      <c r="B387" s="200"/>
      <c r="C387" s="195"/>
      <c r="D387" s="195"/>
      <c r="E387" s="195"/>
      <c r="F387" s="196">
        <f t="shared" si="12"/>
        <v>0</v>
      </c>
      <c r="G387" s="197"/>
      <c r="H387" s="198" t="s">
        <v>19</v>
      </c>
      <c r="I387" s="199"/>
      <c r="J387" s="200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</row>
    <row r="388">
      <c r="A388" s="204"/>
      <c r="B388" s="204"/>
      <c r="C388" s="205"/>
      <c r="D388" s="205"/>
      <c r="E388" s="205"/>
      <c r="F388" s="204"/>
      <c r="G388" s="204"/>
      <c r="H388" s="204"/>
      <c r="I388" s="204"/>
      <c r="J388" s="204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</row>
    <row r="389">
      <c r="A389" s="204"/>
      <c r="B389" s="204"/>
      <c r="C389" s="205"/>
      <c r="D389" s="205"/>
      <c r="E389" s="205"/>
      <c r="F389" s="204"/>
      <c r="G389" s="204"/>
      <c r="H389" s="204"/>
      <c r="I389" s="204"/>
      <c r="J389" s="204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</row>
    <row r="390">
      <c r="A390" s="204"/>
      <c r="B390" s="204"/>
      <c r="C390" s="205"/>
      <c r="D390" s="205"/>
      <c r="E390" s="205"/>
      <c r="F390" s="204"/>
      <c r="G390" s="204"/>
      <c r="H390" s="204"/>
      <c r="I390" s="204"/>
      <c r="J390" s="204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</row>
    <row r="391">
      <c r="A391" s="204"/>
      <c r="B391" s="204"/>
      <c r="C391" s="205"/>
      <c r="D391" s="205"/>
      <c r="E391" s="205"/>
      <c r="F391" s="204"/>
      <c r="G391" s="204"/>
      <c r="H391" s="204"/>
      <c r="I391" s="204"/>
      <c r="J391" s="204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</row>
    <row r="392">
      <c r="A392" s="204"/>
      <c r="B392" s="204"/>
      <c r="C392" s="205"/>
      <c r="D392" s="205"/>
      <c r="E392" s="205"/>
      <c r="F392" s="204"/>
      <c r="G392" s="204"/>
      <c r="H392" s="204"/>
      <c r="I392" s="204"/>
      <c r="J392" s="204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</row>
    <row r="393">
      <c r="A393" s="204"/>
      <c r="B393" s="204"/>
      <c r="C393" s="205"/>
      <c r="D393" s="205"/>
      <c r="E393" s="205"/>
      <c r="F393" s="204"/>
      <c r="G393" s="204"/>
      <c r="H393" s="204"/>
      <c r="I393" s="204"/>
      <c r="J393" s="204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</row>
    <row r="394">
      <c r="A394" s="204"/>
      <c r="B394" s="204"/>
      <c r="C394" s="205"/>
      <c r="D394" s="205"/>
      <c r="E394" s="205"/>
      <c r="F394" s="204"/>
      <c r="G394" s="204"/>
      <c r="H394" s="204"/>
      <c r="I394" s="204"/>
      <c r="J394" s="204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</row>
    <row r="395">
      <c r="A395" s="167"/>
      <c r="B395" s="167"/>
      <c r="C395" s="206"/>
      <c r="D395" s="206"/>
      <c r="E395" s="206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</row>
    <row r="396">
      <c r="A396" s="207"/>
      <c r="B396" s="208" t="s">
        <v>1354</v>
      </c>
      <c r="C396" s="209"/>
      <c r="D396" s="209"/>
      <c r="E396" s="209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209"/>
      <c r="D397" s="209"/>
      <c r="E397" s="209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209"/>
      <c r="D398" s="209"/>
      <c r="E398" s="209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209"/>
      <c r="D399" s="209"/>
      <c r="E399" s="209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209"/>
      <c r="D400" s="209"/>
      <c r="E400" s="209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209"/>
      <c r="D401" s="209"/>
      <c r="E401" s="209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209"/>
      <c r="D402" s="209"/>
      <c r="E402" s="209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209"/>
      <c r="D403" s="209"/>
      <c r="E403" s="209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209"/>
      <c r="D404" s="209"/>
      <c r="E404" s="209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209"/>
      <c r="D405" s="209"/>
      <c r="E405" s="209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209"/>
      <c r="D406" s="209"/>
      <c r="E406" s="209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209"/>
      <c r="D407" s="209"/>
      <c r="E407" s="209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209"/>
      <c r="D408" s="209"/>
      <c r="E408" s="209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209"/>
      <c r="D409" s="209"/>
      <c r="E409" s="209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209"/>
      <c r="D410" s="209"/>
      <c r="E410" s="209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209"/>
      <c r="D411" s="209"/>
      <c r="E411" s="209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209"/>
      <c r="D412" s="209"/>
      <c r="E412" s="209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209"/>
      <c r="D413" s="209"/>
      <c r="E413" s="209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209"/>
      <c r="D414" s="209"/>
      <c r="E414" s="209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209"/>
      <c r="D415" s="209"/>
      <c r="E415" s="209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209"/>
      <c r="D416" s="209"/>
      <c r="E416" s="209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209"/>
      <c r="D417" s="209"/>
      <c r="E417" s="209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209"/>
      <c r="D418" s="209"/>
      <c r="E418" s="209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209"/>
      <c r="D419" s="209"/>
      <c r="E419" s="209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209"/>
      <c r="D420" s="209"/>
      <c r="E420" s="209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209"/>
      <c r="D421" s="209"/>
      <c r="E421" s="209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209"/>
      <c r="D422" s="209"/>
      <c r="E422" s="209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209"/>
      <c r="D423" s="209"/>
      <c r="E423" s="209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209"/>
      <c r="D424" s="209"/>
      <c r="E424" s="209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209"/>
      <c r="D425" s="209"/>
      <c r="E425" s="209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209"/>
      <c r="D426" s="209"/>
      <c r="E426" s="209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209"/>
      <c r="D427" s="209"/>
      <c r="E427" s="209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209"/>
      <c r="D428" s="209"/>
      <c r="E428" s="209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209"/>
      <c r="D429" s="209"/>
      <c r="E429" s="209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209"/>
      <c r="D430" s="209"/>
      <c r="E430" s="209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209"/>
      <c r="D431" s="209"/>
      <c r="E431" s="209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209"/>
      <c r="D432" s="209"/>
      <c r="E432" s="209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209"/>
      <c r="D433" s="209"/>
      <c r="E433" s="209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209"/>
      <c r="D434" s="209"/>
      <c r="E434" s="209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209"/>
      <c r="D435" s="209"/>
      <c r="E435" s="209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209"/>
      <c r="D436" s="209"/>
      <c r="E436" s="209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209"/>
      <c r="D437" s="209"/>
      <c r="E437" s="209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209"/>
      <c r="D438" s="209"/>
      <c r="E438" s="209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209"/>
      <c r="D439" s="209"/>
      <c r="E439" s="209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209"/>
      <c r="D440" s="209"/>
      <c r="E440" s="209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209"/>
      <c r="D441" s="209"/>
      <c r="E441" s="209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209"/>
      <c r="D442" s="209"/>
      <c r="E442" s="209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209"/>
      <c r="D443" s="209"/>
      <c r="E443" s="209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209"/>
      <c r="D444" s="209"/>
      <c r="E444" s="209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209"/>
      <c r="D445" s="209"/>
      <c r="E445" s="209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209"/>
      <c r="D446" s="209"/>
      <c r="E446" s="209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209"/>
      <c r="D447" s="209"/>
      <c r="E447" s="209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209"/>
      <c r="D448" s="209"/>
      <c r="E448" s="209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209"/>
      <c r="D449" s="209"/>
      <c r="E449" s="209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209"/>
      <c r="D450" s="209"/>
      <c r="E450" s="209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209"/>
      <c r="D451" s="209"/>
      <c r="E451" s="209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209"/>
      <c r="D452" s="209"/>
      <c r="E452" s="209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209"/>
      <c r="D453" s="209"/>
      <c r="E453" s="209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209"/>
      <c r="D454" s="209"/>
      <c r="E454" s="209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209"/>
      <c r="D455" s="209"/>
      <c r="E455" s="209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209"/>
      <c r="D456" s="209"/>
      <c r="E456" s="209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209"/>
      <c r="D457" s="209"/>
      <c r="E457" s="209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209"/>
      <c r="D458" s="209"/>
      <c r="E458" s="209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209"/>
      <c r="D459" s="209"/>
      <c r="E459" s="209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209"/>
      <c r="D460" s="209"/>
      <c r="E460" s="209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209"/>
      <c r="D461" s="209"/>
      <c r="E461" s="209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209"/>
      <c r="D462" s="209"/>
      <c r="E462" s="209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209"/>
      <c r="D463" s="209"/>
      <c r="E463" s="209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209"/>
      <c r="D464" s="209"/>
      <c r="E464" s="209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209"/>
      <c r="D465" s="209"/>
      <c r="E465" s="209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209"/>
      <c r="D466" s="209"/>
      <c r="E466" s="209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209"/>
      <c r="D467" s="209"/>
      <c r="E467" s="209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209"/>
      <c r="D468" s="209"/>
      <c r="E468" s="209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209"/>
      <c r="D469" s="209"/>
      <c r="E469" s="209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209"/>
      <c r="D470" s="209"/>
      <c r="E470" s="209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209"/>
      <c r="D471" s="209"/>
      <c r="E471" s="209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209"/>
      <c r="D472" s="209"/>
      <c r="E472" s="209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209"/>
      <c r="D473" s="209"/>
      <c r="E473" s="209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209"/>
      <c r="D474" s="209"/>
      <c r="E474" s="209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209"/>
      <c r="D475" s="209"/>
      <c r="E475" s="209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209"/>
      <c r="D476" s="209"/>
      <c r="E476" s="209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209"/>
      <c r="D477" s="209"/>
      <c r="E477" s="209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209"/>
      <c r="D478" s="209"/>
      <c r="E478" s="209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209"/>
      <c r="D479" s="209"/>
      <c r="E479" s="209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209"/>
      <c r="D480" s="209"/>
      <c r="E480" s="209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209"/>
      <c r="D481" s="209"/>
      <c r="E481" s="209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209"/>
      <c r="D482" s="209"/>
      <c r="E482" s="209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209"/>
      <c r="D483" s="209"/>
      <c r="E483" s="209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209"/>
      <c r="D484" s="209"/>
      <c r="E484" s="209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209"/>
      <c r="D485" s="209"/>
      <c r="E485" s="209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209"/>
      <c r="D486" s="209"/>
      <c r="E486" s="209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209"/>
      <c r="D487" s="209"/>
      <c r="E487" s="209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209"/>
      <c r="D488" s="209"/>
      <c r="E488" s="209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209"/>
      <c r="D489" s="209"/>
      <c r="E489" s="209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209"/>
      <c r="D490" s="209"/>
      <c r="E490" s="209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209"/>
      <c r="D491" s="209"/>
      <c r="E491" s="209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209"/>
      <c r="D492" s="209"/>
      <c r="E492" s="209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209"/>
      <c r="D493" s="209"/>
      <c r="E493" s="209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209"/>
      <c r="D494" s="209"/>
      <c r="E494" s="209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209"/>
      <c r="D495" s="209"/>
      <c r="E495" s="209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209"/>
      <c r="D496" s="209"/>
      <c r="E496" s="209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209"/>
      <c r="D497" s="209"/>
      <c r="E497" s="209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209"/>
      <c r="D498" s="209"/>
      <c r="E498" s="209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209"/>
      <c r="D499" s="209"/>
      <c r="E499" s="209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209"/>
      <c r="D500" s="209"/>
      <c r="E500" s="209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209"/>
      <c r="D501" s="209"/>
      <c r="E501" s="209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209"/>
      <c r="D502" s="209"/>
      <c r="E502" s="209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209"/>
      <c r="D503" s="209"/>
      <c r="E503" s="209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209"/>
      <c r="D504" s="209"/>
      <c r="E504" s="209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209"/>
      <c r="D505" s="209"/>
      <c r="E505" s="209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209"/>
      <c r="D506" s="209"/>
      <c r="E506" s="209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209"/>
      <c r="D507" s="209"/>
      <c r="E507" s="209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209"/>
      <c r="D508" s="209"/>
      <c r="E508" s="209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209"/>
      <c r="D509" s="209"/>
      <c r="E509" s="209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209"/>
      <c r="D510" s="209"/>
      <c r="E510" s="209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209"/>
      <c r="D511" s="209"/>
      <c r="E511" s="209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209"/>
      <c r="D512" s="209"/>
      <c r="E512" s="209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209"/>
      <c r="D513" s="209"/>
      <c r="E513" s="209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209"/>
      <c r="D514" s="209"/>
      <c r="E514" s="209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209"/>
      <c r="D515" s="209"/>
      <c r="E515" s="209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209"/>
      <c r="D516" s="209"/>
      <c r="E516" s="209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209"/>
      <c r="D517" s="209"/>
      <c r="E517" s="209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209"/>
      <c r="D518" s="209"/>
      <c r="E518" s="209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209"/>
      <c r="D519" s="209"/>
      <c r="E519" s="209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209"/>
      <c r="D520" s="209"/>
      <c r="E520" s="209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209"/>
      <c r="D521" s="209"/>
      <c r="E521" s="209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209"/>
      <c r="D522" s="209"/>
      <c r="E522" s="209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209"/>
      <c r="D523" s="209"/>
      <c r="E523" s="209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209"/>
      <c r="D524" s="209"/>
      <c r="E524" s="209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209"/>
      <c r="D525" s="209"/>
      <c r="E525" s="209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209"/>
      <c r="D526" s="209"/>
      <c r="E526" s="209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209"/>
      <c r="D527" s="209"/>
      <c r="E527" s="209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209"/>
      <c r="D528" s="209"/>
      <c r="E528" s="209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209"/>
      <c r="D529" s="209"/>
      <c r="E529" s="209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209"/>
      <c r="D530" s="209"/>
      <c r="E530" s="209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209"/>
      <c r="D531" s="209"/>
      <c r="E531" s="209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209"/>
      <c r="D532" s="209"/>
      <c r="E532" s="209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209"/>
      <c r="D533" s="209"/>
      <c r="E533" s="209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209"/>
      <c r="D534" s="209"/>
      <c r="E534" s="209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209"/>
      <c r="D535" s="209"/>
      <c r="E535" s="209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209"/>
      <c r="D536" s="209"/>
      <c r="E536" s="209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209"/>
      <c r="D537" s="209"/>
      <c r="E537" s="209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209"/>
      <c r="D538" s="209"/>
      <c r="E538" s="209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209"/>
      <c r="D539" s="209"/>
      <c r="E539" s="209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209"/>
      <c r="D540" s="209"/>
      <c r="E540" s="209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209"/>
      <c r="D541" s="209"/>
      <c r="E541" s="209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209"/>
      <c r="D542" s="209"/>
      <c r="E542" s="209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209"/>
      <c r="D543" s="209"/>
      <c r="E543" s="209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209"/>
      <c r="D544" s="209"/>
      <c r="E544" s="209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209"/>
      <c r="D545" s="209"/>
      <c r="E545" s="209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209"/>
      <c r="D546" s="209"/>
      <c r="E546" s="209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209"/>
      <c r="D547" s="209"/>
      <c r="E547" s="209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209"/>
      <c r="D548" s="209"/>
      <c r="E548" s="209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209"/>
      <c r="D549" s="209"/>
      <c r="E549" s="209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209"/>
      <c r="D550" s="209"/>
      <c r="E550" s="209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209"/>
      <c r="D551" s="209"/>
      <c r="E551" s="209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209"/>
      <c r="D552" s="209"/>
      <c r="E552" s="209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209"/>
      <c r="D553" s="209"/>
      <c r="E553" s="209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209"/>
      <c r="D554" s="209"/>
      <c r="E554" s="209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209"/>
      <c r="D555" s="209"/>
      <c r="E555" s="209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209"/>
      <c r="D556" s="209"/>
      <c r="E556" s="209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209"/>
      <c r="D557" s="209"/>
      <c r="E557" s="209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209"/>
      <c r="D558" s="209"/>
      <c r="E558" s="209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209"/>
      <c r="D559" s="209"/>
      <c r="E559" s="209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209"/>
      <c r="D560" s="209"/>
      <c r="E560" s="209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209"/>
      <c r="D561" s="209"/>
      <c r="E561" s="209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209"/>
      <c r="D562" s="209"/>
      <c r="E562" s="209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209"/>
      <c r="D563" s="209"/>
      <c r="E563" s="209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209"/>
      <c r="D564" s="209"/>
      <c r="E564" s="209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209"/>
      <c r="D565" s="209"/>
      <c r="E565" s="209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209"/>
      <c r="D566" s="209"/>
      <c r="E566" s="209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209"/>
      <c r="D567" s="209"/>
      <c r="E567" s="209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209"/>
      <c r="D568" s="209"/>
      <c r="E568" s="209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209"/>
      <c r="D569" s="209"/>
      <c r="E569" s="209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209"/>
      <c r="D570" s="209"/>
      <c r="E570" s="209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209"/>
      <c r="D571" s="209"/>
      <c r="E571" s="209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209"/>
      <c r="D572" s="209"/>
      <c r="E572" s="209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209"/>
      <c r="D573" s="209"/>
      <c r="E573" s="209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209"/>
      <c r="D574" s="209"/>
      <c r="E574" s="209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209"/>
      <c r="D575" s="209"/>
      <c r="E575" s="209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209"/>
      <c r="D576" s="209"/>
      <c r="E576" s="209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209"/>
      <c r="D577" s="209"/>
      <c r="E577" s="209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209"/>
      <c r="D578" s="209"/>
      <c r="E578" s="209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209"/>
      <c r="D579" s="209"/>
      <c r="E579" s="209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209"/>
      <c r="D580" s="209"/>
      <c r="E580" s="209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209"/>
      <c r="D581" s="209"/>
      <c r="E581" s="209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209"/>
      <c r="D582" s="209"/>
      <c r="E582" s="209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209"/>
      <c r="D583" s="209"/>
      <c r="E583" s="209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209"/>
      <c r="D584" s="209"/>
      <c r="E584" s="209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209"/>
      <c r="D585" s="209"/>
      <c r="E585" s="209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209"/>
      <c r="D586" s="209"/>
      <c r="E586" s="209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209"/>
      <c r="D587" s="209"/>
      <c r="E587" s="209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209"/>
      <c r="D588" s="209"/>
      <c r="E588" s="209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209"/>
      <c r="D589" s="209"/>
      <c r="E589" s="209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209"/>
      <c r="D590" s="209"/>
      <c r="E590" s="209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209"/>
      <c r="D591" s="209"/>
      <c r="E591" s="209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209"/>
      <c r="D592" s="209"/>
      <c r="E592" s="209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209"/>
      <c r="D593" s="209"/>
      <c r="E593" s="209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209"/>
      <c r="D594" s="209"/>
      <c r="E594" s="209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209"/>
      <c r="D595" s="209"/>
      <c r="E595" s="209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209"/>
      <c r="D596" s="209"/>
      <c r="E596" s="209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209"/>
      <c r="D597" s="209"/>
      <c r="E597" s="209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209"/>
      <c r="D598" s="209"/>
      <c r="E598" s="209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209"/>
      <c r="D599" s="209"/>
      <c r="E599" s="209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209"/>
      <c r="D600" s="209"/>
      <c r="E600" s="209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209"/>
      <c r="D601" s="209"/>
      <c r="E601" s="209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209"/>
      <c r="D602" s="209"/>
      <c r="E602" s="209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209"/>
      <c r="D603" s="209"/>
      <c r="E603" s="209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209"/>
      <c r="D604" s="209"/>
      <c r="E604" s="209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209"/>
      <c r="D605" s="209"/>
      <c r="E605" s="209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209"/>
      <c r="D606" s="209"/>
      <c r="E606" s="209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209"/>
      <c r="D607" s="209"/>
      <c r="E607" s="209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209"/>
      <c r="D608" s="209"/>
      <c r="E608" s="209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209"/>
      <c r="D609" s="209"/>
      <c r="E609" s="209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209"/>
      <c r="D610" s="209"/>
      <c r="E610" s="209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209"/>
      <c r="D611" s="209"/>
      <c r="E611" s="209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209"/>
      <c r="D612" s="209"/>
      <c r="E612" s="209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209"/>
      <c r="D613" s="209"/>
      <c r="E613" s="209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209"/>
      <c r="D614" s="209"/>
      <c r="E614" s="209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209"/>
      <c r="D615" s="209"/>
      <c r="E615" s="209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209"/>
      <c r="D616" s="209"/>
      <c r="E616" s="209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209"/>
      <c r="D617" s="209"/>
      <c r="E617" s="209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209"/>
      <c r="D618" s="209"/>
      <c r="E618" s="209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209"/>
      <c r="D619" s="209"/>
      <c r="E619" s="209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209"/>
      <c r="D620" s="209"/>
      <c r="E620" s="209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209"/>
      <c r="D621" s="209"/>
      <c r="E621" s="209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209"/>
      <c r="D622" s="209"/>
      <c r="E622" s="209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209"/>
      <c r="D623" s="209"/>
      <c r="E623" s="209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209"/>
      <c r="D624" s="209"/>
      <c r="E624" s="209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209"/>
      <c r="D625" s="209"/>
      <c r="E625" s="209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209"/>
      <c r="D626" s="209"/>
      <c r="E626" s="209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209"/>
      <c r="D627" s="209"/>
      <c r="E627" s="209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209"/>
      <c r="D628" s="209"/>
      <c r="E628" s="209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209"/>
      <c r="D629" s="209"/>
      <c r="E629" s="209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209"/>
      <c r="D630" s="209"/>
      <c r="E630" s="209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209"/>
      <c r="D631" s="209"/>
      <c r="E631" s="209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209"/>
      <c r="D632" s="209"/>
      <c r="E632" s="209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209"/>
      <c r="D633" s="209"/>
      <c r="E633" s="209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209"/>
      <c r="D634" s="209"/>
      <c r="E634" s="209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209"/>
      <c r="D635" s="209"/>
      <c r="E635" s="209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209"/>
      <c r="D636" s="209"/>
      <c r="E636" s="209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209"/>
      <c r="D637" s="209"/>
      <c r="E637" s="209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209"/>
      <c r="D638" s="209"/>
      <c r="E638" s="209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209"/>
      <c r="D639" s="209"/>
      <c r="E639" s="209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209"/>
      <c r="D640" s="209"/>
      <c r="E640" s="209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209"/>
      <c r="D641" s="209"/>
      <c r="E641" s="209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209"/>
      <c r="D642" s="209"/>
      <c r="E642" s="209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209"/>
      <c r="D643" s="209"/>
      <c r="E643" s="209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209"/>
      <c r="D644" s="209"/>
      <c r="E644" s="209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209"/>
      <c r="D645" s="209"/>
      <c r="E645" s="209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209"/>
      <c r="D646" s="209"/>
      <c r="E646" s="209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209"/>
      <c r="D647" s="209"/>
      <c r="E647" s="209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209"/>
      <c r="D648" s="209"/>
      <c r="E648" s="209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209"/>
      <c r="D649" s="209"/>
      <c r="E649" s="209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209"/>
      <c r="D650" s="209"/>
      <c r="E650" s="209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209"/>
      <c r="D651" s="209"/>
      <c r="E651" s="209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209"/>
      <c r="D652" s="209"/>
      <c r="E652" s="209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209"/>
      <c r="D653" s="209"/>
      <c r="E653" s="209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209"/>
      <c r="D654" s="209"/>
      <c r="E654" s="209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209"/>
      <c r="D655" s="209"/>
      <c r="E655" s="209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209"/>
      <c r="D656" s="209"/>
      <c r="E656" s="209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209"/>
      <c r="D657" s="209"/>
      <c r="E657" s="209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209"/>
      <c r="D658" s="209"/>
      <c r="E658" s="209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209"/>
      <c r="D659" s="209"/>
      <c r="E659" s="209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209"/>
      <c r="D660" s="209"/>
      <c r="E660" s="209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209"/>
      <c r="D661" s="209"/>
      <c r="E661" s="209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209"/>
      <c r="D662" s="209"/>
      <c r="E662" s="209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209"/>
      <c r="D663" s="209"/>
      <c r="E663" s="209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209"/>
      <c r="D664" s="209"/>
      <c r="E664" s="209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209"/>
      <c r="D665" s="209"/>
      <c r="E665" s="209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209"/>
      <c r="D666" s="209"/>
      <c r="E666" s="209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209"/>
      <c r="D667" s="209"/>
      <c r="E667" s="209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209"/>
      <c r="D668" s="209"/>
      <c r="E668" s="209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209"/>
      <c r="D669" s="209"/>
      <c r="E669" s="209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209"/>
      <c r="D670" s="209"/>
      <c r="E670" s="209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209"/>
      <c r="D671" s="209"/>
      <c r="E671" s="209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209"/>
      <c r="D672" s="209"/>
      <c r="E672" s="209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209"/>
      <c r="D673" s="209"/>
      <c r="E673" s="209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209"/>
      <c r="D674" s="209"/>
      <c r="E674" s="209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209"/>
      <c r="D675" s="209"/>
      <c r="E675" s="209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209"/>
      <c r="D676" s="209"/>
      <c r="E676" s="209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209"/>
      <c r="D677" s="209"/>
      <c r="E677" s="209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209"/>
      <c r="D678" s="209"/>
      <c r="E678" s="209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209"/>
      <c r="D679" s="209"/>
      <c r="E679" s="209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209"/>
      <c r="D680" s="209"/>
      <c r="E680" s="209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209"/>
      <c r="D681" s="209"/>
      <c r="E681" s="209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209"/>
      <c r="D682" s="209"/>
      <c r="E682" s="209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209"/>
      <c r="D683" s="209"/>
      <c r="E683" s="209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209"/>
      <c r="D684" s="209"/>
      <c r="E684" s="209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209"/>
      <c r="D685" s="209"/>
      <c r="E685" s="209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209"/>
      <c r="D686" s="209"/>
      <c r="E686" s="209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209"/>
      <c r="D687" s="209"/>
      <c r="E687" s="209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209"/>
      <c r="D688" s="209"/>
      <c r="E688" s="209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209"/>
      <c r="D689" s="209"/>
      <c r="E689" s="209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209"/>
      <c r="D690" s="209"/>
      <c r="E690" s="209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209"/>
      <c r="D691" s="209"/>
      <c r="E691" s="209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209"/>
      <c r="D692" s="209"/>
      <c r="E692" s="209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209"/>
      <c r="D693" s="209"/>
      <c r="E693" s="209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209"/>
      <c r="D694" s="209"/>
      <c r="E694" s="209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209"/>
      <c r="D695" s="209"/>
      <c r="E695" s="209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209"/>
      <c r="D696" s="209"/>
      <c r="E696" s="209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209"/>
      <c r="D697" s="209"/>
      <c r="E697" s="209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209"/>
      <c r="D698" s="209"/>
      <c r="E698" s="209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209"/>
      <c r="D699" s="209"/>
      <c r="E699" s="209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209"/>
      <c r="D700" s="209"/>
      <c r="E700" s="209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209"/>
      <c r="D701" s="209"/>
      <c r="E701" s="209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209"/>
      <c r="D702" s="209"/>
      <c r="E702" s="209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209"/>
      <c r="D703" s="209"/>
      <c r="E703" s="209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209"/>
      <c r="D704" s="209"/>
      <c r="E704" s="209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209"/>
      <c r="D705" s="209"/>
      <c r="E705" s="209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209"/>
      <c r="D706" s="209"/>
      <c r="E706" s="209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209"/>
      <c r="D707" s="209"/>
      <c r="E707" s="209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209"/>
      <c r="D708" s="209"/>
      <c r="E708" s="209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209"/>
      <c r="D709" s="209"/>
      <c r="E709" s="209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209"/>
      <c r="D710" s="209"/>
      <c r="E710" s="209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209"/>
      <c r="D711" s="209"/>
      <c r="E711" s="209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209"/>
      <c r="D712" s="209"/>
      <c r="E712" s="209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209"/>
      <c r="D713" s="209"/>
      <c r="E713" s="209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209"/>
      <c r="D714" s="209"/>
      <c r="E714" s="209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209"/>
      <c r="D715" s="209"/>
      <c r="E715" s="209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209"/>
      <c r="D716" s="209"/>
      <c r="E716" s="209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209"/>
      <c r="D717" s="209"/>
      <c r="E717" s="209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209"/>
      <c r="D718" s="209"/>
      <c r="E718" s="209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209"/>
      <c r="D719" s="209"/>
      <c r="E719" s="209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209"/>
      <c r="D720" s="209"/>
      <c r="E720" s="209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209"/>
      <c r="D721" s="209"/>
      <c r="E721" s="209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209"/>
      <c r="D722" s="209"/>
      <c r="E722" s="209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209"/>
      <c r="D723" s="209"/>
      <c r="E723" s="209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209"/>
      <c r="D724" s="209"/>
      <c r="E724" s="209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209"/>
      <c r="D725" s="209"/>
      <c r="E725" s="209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209"/>
      <c r="D726" s="209"/>
      <c r="E726" s="209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209"/>
      <c r="D727" s="209"/>
      <c r="E727" s="209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209"/>
      <c r="D728" s="209"/>
      <c r="E728" s="209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209"/>
      <c r="D729" s="209"/>
      <c r="E729" s="209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209"/>
      <c r="D730" s="209"/>
      <c r="E730" s="209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209"/>
      <c r="D731" s="209"/>
      <c r="E731" s="209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209"/>
      <c r="D732" s="209"/>
      <c r="E732" s="209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209"/>
      <c r="D733" s="209"/>
      <c r="E733" s="209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209"/>
      <c r="D734" s="209"/>
      <c r="E734" s="209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209"/>
      <c r="D735" s="209"/>
      <c r="E735" s="209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209"/>
      <c r="D736" s="209"/>
      <c r="E736" s="209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209"/>
      <c r="D737" s="209"/>
      <c r="E737" s="209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209"/>
      <c r="D738" s="209"/>
      <c r="E738" s="209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209"/>
      <c r="D739" s="209"/>
      <c r="E739" s="209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209"/>
      <c r="D740" s="209"/>
      <c r="E740" s="209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209"/>
      <c r="D741" s="209"/>
      <c r="E741" s="209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209"/>
      <c r="D742" s="209"/>
      <c r="E742" s="209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209"/>
      <c r="D743" s="209"/>
      <c r="E743" s="209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209"/>
      <c r="D744" s="209"/>
      <c r="E744" s="209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209"/>
      <c r="D745" s="209"/>
      <c r="E745" s="209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209"/>
      <c r="D746" s="209"/>
      <c r="E746" s="209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209"/>
      <c r="D747" s="209"/>
      <c r="E747" s="209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209"/>
      <c r="D748" s="209"/>
      <c r="E748" s="209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209"/>
      <c r="D749" s="209"/>
      <c r="E749" s="209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209"/>
      <c r="D750" s="209"/>
      <c r="E750" s="209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209"/>
      <c r="D751" s="209"/>
      <c r="E751" s="209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209"/>
      <c r="D752" s="209"/>
      <c r="E752" s="209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209"/>
      <c r="D753" s="209"/>
      <c r="E753" s="209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209"/>
      <c r="D754" s="209"/>
      <c r="E754" s="209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209"/>
      <c r="D755" s="209"/>
      <c r="E755" s="209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209"/>
      <c r="D756" s="209"/>
      <c r="E756" s="209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209"/>
      <c r="D757" s="209"/>
      <c r="E757" s="209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209"/>
      <c r="D758" s="209"/>
      <c r="E758" s="209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209"/>
      <c r="D759" s="209"/>
      <c r="E759" s="209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209"/>
      <c r="D760" s="209"/>
      <c r="E760" s="209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209"/>
      <c r="D761" s="209"/>
      <c r="E761" s="209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209"/>
      <c r="D762" s="209"/>
      <c r="E762" s="209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209"/>
      <c r="D763" s="209"/>
      <c r="E763" s="209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209"/>
      <c r="D764" s="209"/>
      <c r="E764" s="209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209"/>
      <c r="D765" s="209"/>
      <c r="E765" s="209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209"/>
      <c r="D766" s="209"/>
      <c r="E766" s="209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209"/>
      <c r="D767" s="209"/>
      <c r="E767" s="209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209"/>
      <c r="D768" s="209"/>
      <c r="E768" s="209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209"/>
      <c r="D769" s="209"/>
      <c r="E769" s="209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209"/>
      <c r="D770" s="209"/>
      <c r="E770" s="209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209"/>
      <c r="D771" s="209"/>
      <c r="E771" s="209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209"/>
      <c r="D772" s="209"/>
      <c r="E772" s="209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209"/>
      <c r="D773" s="209"/>
      <c r="E773" s="209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209"/>
      <c r="D774" s="209"/>
      <c r="E774" s="209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209"/>
      <c r="D775" s="209"/>
      <c r="E775" s="209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209"/>
      <c r="D776" s="209"/>
      <c r="E776" s="209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209"/>
      <c r="D777" s="209"/>
      <c r="E777" s="209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209"/>
      <c r="D778" s="209"/>
      <c r="E778" s="209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209"/>
      <c r="D779" s="209"/>
      <c r="E779" s="209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209"/>
      <c r="D780" s="209"/>
      <c r="E780" s="209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209"/>
      <c r="D781" s="209"/>
      <c r="E781" s="209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209"/>
      <c r="D782" s="209"/>
      <c r="E782" s="209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209"/>
      <c r="D783" s="209"/>
      <c r="E783" s="209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209"/>
      <c r="D784" s="209"/>
      <c r="E784" s="209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209"/>
      <c r="D785" s="209"/>
      <c r="E785" s="209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209"/>
      <c r="D786" s="209"/>
      <c r="E786" s="209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209"/>
      <c r="D787" s="209"/>
      <c r="E787" s="209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209"/>
      <c r="D788" s="209"/>
      <c r="E788" s="209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209"/>
      <c r="D789" s="209"/>
      <c r="E789" s="209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209"/>
      <c r="D790" s="209"/>
      <c r="E790" s="209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209"/>
      <c r="D791" s="209"/>
      <c r="E791" s="209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209"/>
      <c r="D792" s="209"/>
      <c r="E792" s="209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209"/>
      <c r="D793" s="209"/>
      <c r="E793" s="209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209"/>
      <c r="D794" s="209"/>
      <c r="E794" s="209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209"/>
      <c r="D795" s="209"/>
      <c r="E795" s="209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209"/>
      <c r="D796" s="209"/>
      <c r="E796" s="209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209"/>
      <c r="D797" s="209"/>
      <c r="E797" s="209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209"/>
      <c r="D798" s="209"/>
      <c r="E798" s="209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209"/>
      <c r="D799" s="209"/>
      <c r="E799" s="209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209"/>
      <c r="D800" s="209"/>
      <c r="E800" s="209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209"/>
      <c r="D801" s="209"/>
      <c r="E801" s="209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209"/>
      <c r="D802" s="209"/>
      <c r="E802" s="209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209"/>
      <c r="D803" s="209"/>
      <c r="E803" s="209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209"/>
      <c r="D804" s="209"/>
      <c r="E804" s="209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209"/>
      <c r="D805" s="209"/>
      <c r="E805" s="209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209"/>
      <c r="D806" s="209"/>
      <c r="E806" s="209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209"/>
      <c r="D807" s="209"/>
      <c r="E807" s="209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209"/>
      <c r="D808" s="209"/>
      <c r="E808" s="209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209"/>
      <c r="D809" s="209"/>
      <c r="E809" s="209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209"/>
      <c r="D810" s="209"/>
      <c r="E810" s="209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209"/>
      <c r="D811" s="209"/>
      <c r="E811" s="209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209"/>
      <c r="D812" s="209"/>
      <c r="E812" s="209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209"/>
      <c r="D813" s="209"/>
      <c r="E813" s="209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209"/>
      <c r="D814" s="209"/>
      <c r="E814" s="209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209"/>
      <c r="D815" s="209"/>
      <c r="E815" s="209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209"/>
      <c r="D816" s="209"/>
      <c r="E816" s="209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209"/>
      <c r="D817" s="209"/>
      <c r="E817" s="209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209"/>
      <c r="D818" s="209"/>
      <c r="E818" s="209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209"/>
      <c r="D819" s="209"/>
      <c r="E819" s="209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209"/>
      <c r="D820" s="209"/>
      <c r="E820" s="209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209"/>
      <c r="D821" s="209"/>
      <c r="E821" s="209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209"/>
      <c r="D822" s="209"/>
      <c r="E822" s="209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209"/>
      <c r="D823" s="209"/>
      <c r="E823" s="209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209"/>
      <c r="D824" s="209"/>
      <c r="E824" s="209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209"/>
      <c r="D825" s="209"/>
      <c r="E825" s="209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209"/>
      <c r="D826" s="209"/>
      <c r="E826" s="209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209"/>
      <c r="D827" s="209"/>
      <c r="E827" s="209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209"/>
      <c r="D828" s="209"/>
      <c r="E828" s="209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209"/>
      <c r="D829" s="209"/>
      <c r="E829" s="209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209"/>
      <c r="D830" s="209"/>
      <c r="E830" s="209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209"/>
      <c r="D831" s="209"/>
      <c r="E831" s="209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209"/>
      <c r="D832" s="209"/>
      <c r="E832" s="209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209"/>
      <c r="D833" s="209"/>
      <c r="E833" s="209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209"/>
      <c r="D834" s="209"/>
      <c r="E834" s="209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209"/>
      <c r="D835" s="209"/>
      <c r="E835" s="209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209"/>
      <c r="D836" s="209"/>
      <c r="E836" s="209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209"/>
      <c r="D837" s="209"/>
      <c r="E837" s="209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209"/>
      <c r="D838" s="209"/>
      <c r="E838" s="209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209"/>
      <c r="D839" s="209"/>
      <c r="E839" s="209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209"/>
      <c r="D840" s="209"/>
      <c r="E840" s="209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209"/>
      <c r="D841" s="209"/>
      <c r="E841" s="209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209"/>
      <c r="D842" s="209"/>
      <c r="E842" s="209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209"/>
      <c r="D843" s="209"/>
      <c r="E843" s="209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209"/>
      <c r="D844" s="209"/>
      <c r="E844" s="209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209"/>
      <c r="D845" s="209"/>
      <c r="E845" s="209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209"/>
      <c r="D846" s="209"/>
      <c r="E846" s="209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209"/>
      <c r="D847" s="209"/>
      <c r="E847" s="209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209"/>
      <c r="D848" s="209"/>
      <c r="E848" s="209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209"/>
      <c r="D849" s="209"/>
      <c r="E849" s="209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209"/>
      <c r="D850" s="209"/>
      <c r="E850" s="209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209"/>
      <c r="D851" s="209"/>
      <c r="E851" s="209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209"/>
      <c r="D852" s="209"/>
      <c r="E852" s="209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209"/>
      <c r="D853" s="209"/>
      <c r="E853" s="209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209"/>
      <c r="D854" s="209"/>
      <c r="E854" s="209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209"/>
      <c r="D855" s="209"/>
      <c r="E855" s="209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209"/>
      <c r="D856" s="209"/>
      <c r="E856" s="209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209"/>
      <c r="D857" s="209"/>
      <c r="E857" s="209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209"/>
      <c r="D858" s="209"/>
      <c r="E858" s="209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209"/>
      <c r="D859" s="209"/>
      <c r="E859" s="209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209"/>
      <c r="D860" s="209"/>
      <c r="E860" s="209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209"/>
      <c r="D861" s="209"/>
      <c r="E861" s="209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209"/>
      <c r="D862" s="209"/>
      <c r="E862" s="209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209"/>
      <c r="D863" s="209"/>
      <c r="E863" s="209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209"/>
      <c r="D864" s="209"/>
      <c r="E864" s="209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209"/>
      <c r="D865" s="209"/>
      <c r="E865" s="209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209"/>
      <c r="D866" s="209"/>
      <c r="E866" s="209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209"/>
      <c r="D867" s="209"/>
      <c r="E867" s="209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209"/>
      <c r="D868" s="209"/>
      <c r="E868" s="209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209"/>
      <c r="D869" s="209"/>
      <c r="E869" s="209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209"/>
      <c r="D870" s="209"/>
      <c r="E870" s="209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209"/>
      <c r="D871" s="209"/>
      <c r="E871" s="209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209"/>
      <c r="D872" s="209"/>
      <c r="E872" s="209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209"/>
      <c r="D873" s="209"/>
      <c r="E873" s="209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209"/>
      <c r="D874" s="209"/>
      <c r="E874" s="209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209"/>
      <c r="D875" s="209"/>
      <c r="E875" s="209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209"/>
      <c r="D876" s="209"/>
      <c r="E876" s="209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209"/>
      <c r="D877" s="209"/>
      <c r="E877" s="209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209"/>
      <c r="D878" s="209"/>
      <c r="E878" s="209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209"/>
      <c r="D879" s="209"/>
      <c r="E879" s="209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209"/>
      <c r="D880" s="209"/>
      <c r="E880" s="209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209"/>
      <c r="D881" s="209"/>
      <c r="E881" s="209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209"/>
      <c r="D882" s="209"/>
      <c r="E882" s="209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209"/>
      <c r="D883" s="209"/>
      <c r="E883" s="209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209"/>
      <c r="D884" s="209"/>
      <c r="E884" s="209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209"/>
      <c r="D885" s="209"/>
      <c r="E885" s="209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209"/>
      <c r="D886" s="209"/>
      <c r="E886" s="209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209"/>
      <c r="D887" s="209"/>
      <c r="E887" s="209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209"/>
      <c r="D888" s="209"/>
      <c r="E888" s="209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209"/>
      <c r="D889" s="209"/>
      <c r="E889" s="209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209"/>
      <c r="D890" s="209"/>
      <c r="E890" s="209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209"/>
      <c r="D891" s="209"/>
      <c r="E891" s="209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209"/>
      <c r="D892" s="209"/>
      <c r="E892" s="209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209"/>
      <c r="D893" s="209"/>
      <c r="E893" s="209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209"/>
      <c r="D894" s="209"/>
      <c r="E894" s="209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209"/>
      <c r="D895" s="209"/>
      <c r="E895" s="209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209"/>
      <c r="D896" s="209"/>
      <c r="E896" s="209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209"/>
      <c r="D897" s="209"/>
      <c r="E897" s="209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209"/>
      <c r="D898" s="209"/>
      <c r="E898" s="209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209"/>
      <c r="D899" s="209"/>
      <c r="E899" s="209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209"/>
      <c r="D900" s="209"/>
      <c r="E900" s="209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209"/>
      <c r="D901" s="209"/>
      <c r="E901" s="209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209"/>
      <c r="D902" s="209"/>
      <c r="E902" s="209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209"/>
      <c r="D903" s="209"/>
      <c r="E903" s="209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209"/>
      <c r="D904" s="209"/>
      <c r="E904" s="209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209"/>
      <c r="D905" s="209"/>
      <c r="E905" s="209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209"/>
      <c r="D906" s="209"/>
      <c r="E906" s="209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209"/>
      <c r="D907" s="209"/>
      <c r="E907" s="209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209"/>
      <c r="D908" s="209"/>
      <c r="E908" s="209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209"/>
      <c r="D909" s="209"/>
      <c r="E909" s="209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209"/>
      <c r="D910" s="209"/>
      <c r="E910" s="209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209"/>
      <c r="D911" s="209"/>
      <c r="E911" s="209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209"/>
      <c r="D912" s="209"/>
      <c r="E912" s="209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209"/>
      <c r="D913" s="209"/>
      <c r="E913" s="209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209"/>
      <c r="D914" s="209"/>
      <c r="E914" s="209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209"/>
      <c r="D915" s="209"/>
      <c r="E915" s="209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209"/>
      <c r="D916" s="209"/>
      <c r="E916" s="209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209"/>
      <c r="D917" s="209"/>
      <c r="E917" s="209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209"/>
      <c r="D918" s="209"/>
      <c r="E918" s="209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209"/>
      <c r="D919" s="209"/>
      <c r="E919" s="209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209"/>
      <c r="D920" s="209"/>
      <c r="E920" s="209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209"/>
      <c r="D921" s="209"/>
      <c r="E921" s="209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209"/>
      <c r="D922" s="209"/>
      <c r="E922" s="209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209"/>
      <c r="D923" s="209"/>
      <c r="E923" s="209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209"/>
      <c r="D924" s="209"/>
      <c r="E924" s="209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209"/>
      <c r="D925" s="209"/>
      <c r="E925" s="209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209"/>
      <c r="D926" s="209"/>
      <c r="E926" s="209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209"/>
      <c r="D927" s="209"/>
      <c r="E927" s="209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209"/>
      <c r="D928" s="209"/>
      <c r="E928" s="209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209"/>
      <c r="D929" s="209"/>
      <c r="E929" s="209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209"/>
      <c r="D930" s="209"/>
      <c r="E930" s="209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209"/>
      <c r="D931" s="209"/>
      <c r="E931" s="209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209"/>
      <c r="D932" s="209"/>
      <c r="E932" s="209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209"/>
      <c r="D933" s="209"/>
      <c r="E933" s="209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209"/>
      <c r="D934" s="209"/>
      <c r="E934" s="209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209"/>
      <c r="D935" s="209"/>
      <c r="E935" s="209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209"/>
      <c r="D936" s="209"/>
      <c r="E936" s="209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209"/>
      <c r="D937" s="209"/>
      <c r="E937" s="209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209"/>
      <c r="D938" s="209"/>
      <c r="E938" s="209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209"/>
      <c r="D939" s="209"/>
      <c r="E939" s="209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209"/>
      <c r="D940" s="209"/>
      <c r="E940" s="209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209"/>
      <c r="D941" s="209"/>
      <c r="E941" s="209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209"/>
      <c r="D942" s="209"/>
      <c r="E942" s="209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209"/>
      <c r="D943" s="209"/>
      <c r="E943" s="209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209"/>
      <c r="D944" s="209"/>
      <c r="E944" s="209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209"/>
      <c r="D945" s="209"/>
      <c r="E945" s="209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209"/>
      <c r="D946" s="209"/>
      <c r="E946" s="209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209"/>
      <c r="D947" s="209"/>
      <c r="E947" s="209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209"/>
      <c r="D948" s="209"/>
      <c r="E948" s="209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209"/>
      <c r="D949" s="209"/>
      <c r="E949" s="209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209"/>
      <c r="D950" s="209"/>
      <c r="E950" s="209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209"/>
      <c r="D951" s="209"/>
      <c r="E951" s="209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209"/>
      <c r="D952" s="209"/>
      <c r="E952" s="209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209"/>
      <c r="D953" s="209"/>
      <c r="E953" s="209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209"/>
      <c r="D954" s="209"/>
      <c r="E954" s="209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209"/>
      <c r="D955" s="209"/>
      <c r="E955" s="209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209"/>
      <c r="D956" s="209"/>
      <c r="E956" s="209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209"/>
      <c r="D957" s="209"/>
      <c r="E957" s="209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209"/>
      <c r="D958" s="209"/>
      <c r="E958" s="209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209"/>
      <c r="D959" s="209"/>
      <c r="E959" s="209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209"/>
      <c r="D960" s="209"/>
      <c r="E960" s="209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209"/>
      <c r="D961" s="209"/>
      <c r="E961" s="209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209"/>
      <c r="D962" s="209"/>
      <c r="E962" s="209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209"/>
      <c r="D963" s="209"/>
      <c r="E963" s="209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209"/>
      <c r="D964" s="209"/>
      <c r="E964" s="209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209"/>
      <c r="D965" s="209"/>
      <c r="E965" s="209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209"/>
      <c r="D966" s="209"/>
      <c r="E966" s="209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209"/>
      <c r="D967" s="209"/>
      <c r="E967" s="209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209"/>
      <c r="D968" s="209"/>
      <c r="E968" s="209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209"/>
      <c r="D969" s="209"/>
      <c r="E969" s="209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209"/>
      <c r="D970" s="209"/>
      <c r="E970" s="209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209"/>
      <c r="D971" s="209"/>
      <c r="E971" s="209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209"/>
      <c r="D972" s="209"/>
      <c r="E972" s="209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209"/>
      <c r="D973" s="209"/>
      <c r="E973" s="209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209"/>
      <c r="D974" s="209"/>
      <c r="E974" s="209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209"/>
      <c r="D975" s="209"/>
      <c r="E975" s="209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209"/>
      <c r="D976" s="209"/>
      <c r="E976" s="209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209"/>
      <c r="D977" s="209"/>
      <c r="E977" s="209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209"/>
      <c r="D978" s="209"/>
      <c r="E978" s="209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209"/>
      <c r="D979" s="209"/>
      <c r="E979" s="209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209"/>
      <c r="D980" s="209"/>
      <c r="E980" s="209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209"/>
      <c r="D981" s="209"/>
      <c r="E981" s="209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209"/>
      <c r="D982" s="209"/>
      <c r="E982" s="209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209"/>
      <c r="D983" s="209"/>
      <c r="E983" s="209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209"/>
      <c r="D984" s="209"/>
      <c r="E984" s="209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209"/>
      <c r="D985" s="209"/>
      <c r="E985" s="209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209"/>
      <c r="D986" s="209"/>
      <c r="E986" s="209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209"/>
      <c r="D987" s="209"/>
      <c r="E987" s="209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209"/>
      <c r="D988" s="209"/>
      <c r="E988" s="209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209"/>
      <c r="D989" s="209"/>
      <c r="E989" s="209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209"/>
      <c r="D990" s="209"/>
      <c r="E990" s="209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209"/>
      <c r="D991" s="209"/>
      <c r="E991" s="209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209"/>
      <c r="D992" s="209"/>
      <c r="E992" s="209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209"/>
      <c r="D993" s="209"/>
      <c r="E993" s="209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209"/>
      <c r="D994" s="209"/>
      <c r="E994" s="209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209"/>
      <c r="D995" s="209"/>
      <c r="E995" s="209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209"/>
      <c r="D996" s="209"/>
      <c r="E996" s="209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209"/>
      <c r="D997" s="209"/>
      <c r="E997" s="209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209"/>
      <c r="D998" s="209"/>
      <c r="E998" s="209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209"/>
      <c r="D999" s="209"/>
      <c r="E999" s="209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209"/>
      <c r="D1000" s="209"/>
      <c r="E1000" s="209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>
      <c r="A1001" s="31"/>
      <c r="B1001" s="31"/>
      <c r="C1001" s="209"/>
      <c r="D1001" s="209"/>
      <c r="E1001" s="209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>
      <c r="A1002" s="31"/>
      <c r="B1002" s="31"/>
      <c r="C1002" s="209"/>
      <c r="D1002" s="209"/>
      <c r="E1002" s="209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>
      <c r="A1003" s="31"/>
      <c r="B1003" s="31"/>
      <c r="C1003" s="209"/>
      <c r="D1003" s="209"/>
      <c r="E1003" s="209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>
      <c r="A1004" s="31"/>
      <c r="B1004" s="31"/>
      <c r="C1004" s="209"/>
      <c r="D1004" s="209"/>
      <c r="E1004" s="209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>
      <c r="A1005" s="31"/>
      <c r="B1005" s="31"/>
      <c r="C1005" s="209"/>
      <c r="D1005" s="209"/>
      <c r="E1005" s="209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>
      <c r="A1006" s="31"/>
      <c r="B1006" s="31"/>
      <c r="C1006" s="209"/>
      <c r="D1006" s="209"/>
      <c r="E1006" s="209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>
      <c r="A1007" s="31"/>
      <c r="B1007" s="31"/>
      <c r="C1007" s="209"/>
      <c r="D1007" s="209"/>
      <c r="E1007" s="209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>
      <c r="A1008" s="31"/>
      <c r="B1008" s="31"/>
      <c r="C1008" s="209"/>
      <c r="D1008" s="209"/>
      <c r="E1008" s="209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>
      <c r="A1009" s="31"/>
      <c r="B1009" s="31"/>
      <c r="C1009" s="209"/>
      <c r="D1009" s="209"/>
      <c r="E1009" s="209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>
      <c r="A1010" s="31"/>
      <c r="B1010" s="31"/>
      <c r="C1010" s="209"/>
      <c r="D1010" s="209"/>
      <c r="E1010" s="209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>
      <c r="A1011" s="31"/>
      <c r="B1011" s="31"/>
      <c r="C1011" s="209"/>
      <c r="D1011" s="209"/>
      <c r="E1011" s="209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>
      <c r="A1012" s="31"/>
      <c r="B1012" s="31"/>
      <c r="C1012" s="209"/>
      <c r="D1012" s="209"/>
      <c r="E1012" s="209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>
      <c r="A1013" s="31"/>
      <c r="B1013" s="31"/>
      <c r="C1013" s="209"/>
      <c r="D1013" s="209"/>
      <c r="E1013" s="209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>
      <c r="A1014" s="31"/>
      <c r="B1014" s="31"/>
      <c r="C1014" s="209"/>
      <c r="D1014" s="209"/>
      <c r="E1014" s="209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>
      <c r="A1015" s="31"/>
      <c r="B1015" s="31"/>
      <c r="C1015" s="209"/>
      <c r="D1015" s="209"/>
      <c r="E1015" s="209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>
      <c r="A1016" s="31"/>
      <c r="B1016" s="31"/>
      <c r="C1016" s="209"/>
      <c r="D1016" s="209"/>
      <c r="E1016" s="209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>
      <c r="A1017" s="31"/>
      <c r="B1017" s="31"/>
      <c r="C1017" s="209"/>
      <c r="D1017" s="209"/>
      <c r="E1017" s="209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  <row r="1018">
      <c r="A1018" s="31"/>
      <c r="B1018" s="31"/>
      <c r="C1018" s="209"/>
      <c r="D1018" s="209"/>
      <c r="E1018" s="209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</row>
    <row r="1019">
      <c r="A1019" s="31"/>
      <c r="B1019" s="31"/>
      <c r="C1019" s="209"/>
      <c r="D1019" s="209"/>
      <c r="E1019" s="209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</row>
    <row r="1020">
      <c r="A1020" s="31"/>
      <c r="B1020" s="31"/>
      <c r="C1020" s="209"/>
      <c r="D1020" s="209"/>
      <c r="E1020" s="209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</row>
    <row r="1021">
      <c r="A1021" s="31"/>
      <c r="B1021" s="31"/>
      <c r="C1021" s="209"/>
      <c r="D1021" s="209"/>
      <c r="E1021" s="209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</row>
    <row r="1022">
      <c r="A1022" s="31"/>
      <c r="B1022" s="31"/>
      <c r="C1022" s="209"/>
      <c r="D1022" s="209"/>
      <c r="E1022" s="209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</row>
    <row r="1023">
      <c r="A1023" s="31"/>
      <c r="B1023" s="31"/>
      <c r="C1023" s="209"/>
      <c r="D1023" s="209"/>
      <c r="E1023" s="209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</row>
    <row r="1024">
      <c r="A1024" s="31"/>
      <c r="B1024" s="31"/>
      <c r="C1024" s="209"/>
      <c r="D1024" s="209"/>
      <c r="E1024" s="209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</row>
    <row r="1025">
      <c r="A1025" s="31"/>
      <c r="B1025" s="31"/>
      <c r="C1025" s="209"/>
      <c r="D1025" s="209"/>
      <c r="E1025" s="209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</row>
    <row r="1026">
      <c r="A1026" s="31"/>
      <c r="B1026" s="31"/>
      <c r="C1026" s="209"/>
      <c r="D1026" s="209"/>
      <c r="E1026" s="209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</row>
    <row r="1027">
      <c r="A1027" s="31"/>
      <c r="B1027" s="31"/>
      <c r="C1027" s="209"/>
      <c r="D1027" s="209"/>
      <c r="E1027" s="209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</row>
    <row r="1028">
      <c r="A1028" s="31"/>
      <c r="B1028" s="31"/>
      <c r="C1028" s="209"/>
      <c r="D1028" s="209"/>
      <c r="E1028" s="209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</row>
    <row r="1029">
      <c r="A1029" s="31"/>
      <c r="B1029" s="31"/>
      <c r="C1029" s="209"/>
      <c r="D1029" s="209"/>
      <c r="E1029" s="209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</row>
    <row r="1030">
      <c r="A1030" s="31"/>
      <c r="B1030" s="31"/>
      <c r="C1030" s="209"/>
      <c r="D1030" s="209"/>
      <c r="E1030" s="209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</row>
    <row r="1031">
      <c r="A1031" s="31"/>
      <c r="B1031" s="31"/>
      <c r="C1031" s="209"/>
      <c r="D1031" s="209"/>
      <c r="E1031" s="209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</row>
    <row r="1032">
      <c r="A1032" s="31"/>
      <c r="B1032" s="31"/>
      <c r="C1032" s="209"/>
      <c r="D1032" s="209"/>
      <c r="E1032" s="209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</row>
    <row r="1033">
      <c r="A1033" s="31"/>
      <c r="B1033" s="31"/>
      <c r="C1033" s="209"/>
      <c r="D1033" s="209"/>
      <c r="E1033" s="209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</row>
    <row r="1034">
      <c r="A1034" s="31"/>
      <c r="B1034" s="31"/>
      <c r="C1034" s="209"/>
      <c r="D1034" s="209"/>
      <c r="E1034" s="209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</row>
    <row r="1035">
      <c r="A1035" s="31"/>
      <c r="B1035" s="31"/>
      <c r="C1035" s="209"/>
      <c r="D1035" s="209"/>
      <c r="E1035" s="209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</row>
    <row r="1036">
      <c r="A1036" s="31"/>
      <c r="B1036" s="31"/>
      <c r="C1036" s="209"/>
      <c r="D1036" s="209"/>
      <c r="E1036" s="209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</row>
    <row r="1037">
      <c r="A1037" s="31"/>
      <c r="B1037" s="31"/>
      <c r="C1037" s="209"/>
      <c r="D1037" s="209"/>
      <c r="E1037" s="209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</row>
    <row r="1038">
      <c r="A1038" s="31"/>
      <c r="B1038" s="31"/>
      <c r="C1038" s="209"/>
      <c r="D1038" s="209"/>
      <c r="E1038" s="209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</row>
    <row r="1039">
      <c r="A1039" s="31"/>
      <c r="B1039" s="31"/>
      <c r="C1039" s="209"/>
      <c r="D1039" s="209"/>
      <c r="E1039" s="209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</row>
    <row r="1040">
      <c r="A1040" s="31"/>
      <c r="B1040" s="31"/>
      <c r="C1040" s="209"/>
      <c r="D1040" s="209"/>
      <c r="E1040" s="209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</row>
    <row r="1041">
      <c r="A1041" s="31"/>
      <c r="B1041" s="31"/>
      <c r="C1041" s="209"/>
      <c r="D1041" s="209"/>
      <c r="E1041" s="209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</row>
    <row r="1042">
      <c r="A1042" s="31"/>
      <c r="B1042" s="31"/>
      <c r="C1042" s="209"/>
      <c r="D1042" s="209"/>
      <c r="E1042" s="209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</row>
    <row r="1043">
      <c r="A1043" s="31"/>
      <c r="B1043" s="31"/>
      <c r="C1043" s="209"/>
      <c r="D1043" s="209"/>
      <c r="E1043" s="209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</row>
    <row r="1044">
      <c r="A1044" s="31"/>
      <c r="B1044" s="31"/>
      <c r="C1044" s="209"/>
      <c r="D1044" s="209"/>
      <c r="E1044" s="209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</row>
    <row r="1045">
      <c r="A1045" s="31"/>
      <c r="B1045" s="31"/>
      <c r="C1045" s="209"/>
      <c r="D1045" s="209"/>
      <c r="E1045" s="209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</row>
    <row r="1046">
      <c r="A1046" s="31"/>
      <c r="B1046" s="31"/>
      <c r="C1046" s="209"/>
      <c r="D1046" s="209"/>
      <c r="E1046" s="209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</row>
    <row r="1047">
      <c r="A1047" s="31"/>
      <c r="B1047" s="31"/>
      <c r="C1047" s="209"/>
      <c r="D1047" s="209"/>
      <c r="E1047" s="209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</row>
    <row r="1048">
      <c r="A1048" s="31"/>
      <c r="B1048" s="31"/>
      <c r="C1048" s="209"/>
      <c r="D1048" s="209"/>
      <c r="E1048" s="209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</row>
    <row r="1049">
      <c r="A1049" s="31"/>
      <c r="B1049" s="31"/>
      <c r="C1049" s="209"/>
      <c r="D1049" s="209"/>
      <c r="E1049" s="209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</row>
    <row r="1050">
      <c r="A1050" s="31"/>
      <c r="B1050" s="31"/>
      <c r="C1050" s="209"/>
      <c r="D1050" s="209"/>
      <c r="E1050" s="209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</row>
    <row r="1051">
      <c r="A1051" s="31"/>
      <c r="B1051" s="31"/>
      <c r="C1051" s="209"/>
      <c r="D1051" s="209"/>
      <c r="E1051" s="209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</row>
    <row r="1052">
      <c r="A1052" s="31"/>
      <c r="B1052" s="31"/>
      <c r="C1052" s="209"/>
      <c r="D1052" s="209"/>
      <c r="E1052" s="209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</row>
    <row r="1053">
      <c r="A1053" s="31"/>
      <c r="B1053" s="31"/>
      <c r="C1053" s="209"/>
      <c r="D1053" s="209"/>
      <c r="E1053" s="209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</row>
    <row r="1054">
      <c r="A1054" s="31"/>
      <c r="B1054" s="31"/>
      <c r="C1054" s="209"/>
      <c r="D1054" s="209"/>
      <c r="E1054" s="209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</row>
    <row r="1055">
      <c r="A1055" s="31"/>
      <c r="B1055" s="31"/>
      <c r="C1055" s="209"/>
      <c r="D1055" s="209"/>
      <c r="E1055" s="209"/>
      <c r="F1055" s="31"/>
      <c r="G1055" s="31"/>
      <c r="H1055" s="31"/>
      <c r="I1055" s="31"/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</row>
    <row r="1056">
      <c r="A1056" s="31"/>
      <c r="B1056" s="31"/>
      <c r="C1056" s="209"/>
      <c r="D1056" s="209"/>
      <c r="E1056" s="209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</row>
    <row r="1057">
      <c r="A1057" s="31"/>
      <c r="B1057" s="31"/>
      <c r="C1057" s="209"/>
      <c r="D1057" s="209"/>
      <c r="E1057" s="209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</row>
    <row r="1058">
      <c r="A1058" s="31"/>
      <c r="B1058" s="31"/>
      <c r="C1058" s="209"/>
      <c r="D1058" s="209"/>
      <c r="E1058" s="209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</row>
    <row r="1059">
      <c r="A1059" s="31"/>
      <c r="B1059" s="31"/>
      <c r="C1059" s="209"/>
      <c r="D1059" s="209"/>
      <c r="E1059" s="209"/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</row>
    <row r="1060">
      <c r="A1060" s="31"/>
      <c r="B1060" s="31"/>
      <c r="C1060" s="209"/>
      <c r="D1060" s="209"/>
      <c r="E1060" s="209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</row>
    <row r="1061">
      <c r="A1061" s="31"/>
      <c r="B1061" s="31"/>
      <c r="C1061" s="209"/>
      <c r="D1061" s="209"/>
      <c r="E1061" s="209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</row>
    <row r="1062">
      <c r="A1062" s="31"/>
      <c r="B1062" s="31"/>
      <c r="C1062" s="209"/>
      <c r="D1062" s="209"/>
      <c r="E1062" s="209"/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</row>
    <row r="1063">
      <c r="A1063" s="31"/>
      <c r="B1063" s="31"/>
      <c r="C1063" s="209"/>
      <c r="D1063" s="209"/>
      <c r="E1063" s="209"/>
      <c r="F1063" s="31"/>
      <c r="G1063" s="31"/>
      <c r="H1063" s="31"/>
      <c r="I1063" s="31"/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</row>
    <row r="1064">
      <c r="A1064" s="31"/>
      <c r="B1064" s="31"/>
      <c r="C1064" s="209"/>
      <c r="D1064" s="209"/>
      <c r="E1064" s="209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</row>
    <row r="1065">
      <c r="A1065" s="31"/>
      <c r="B1065" s="31"/>
      <c r="C1065" s="209"/>
      <c r="D1065" s="209"/>
      <c r="E1065" s="209"/>
      <c r="F1065" s="31"/>
      <c r="G1065" s="31"/>
      <c r="H1065" s="31"/>
      <c r="I1065" s="31"/>
      <c r="J1065" s="31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</row>
    <row r="1066">
      <c r="A1066" s="31"/>
      <c r="B1066" s="31"/>
      <c r="C1066" s="209"/>
      <c r="D1066" s="209"/>
      <c r="E1066" s="209"/>
      <c r="F1066" s="31"/>
      <c r="G1066" s="31"/>
      <c r="H1066" s="31"/>
      <c r="I1066" s="31"/>
      <c r="J1066" s="3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</row>
    <row r="1067">
      <c r="A1067" s="31"/>
      <c r="B1067" s="31"/>
      <c r="C1067" s="209"/>
      <c r="D1067" s="209"/>
      <c r="E1067" s="209"/>
      <c r="F1067" s="31"/>
      <c r="G1067" s="31"/>
      <c r="H1067" s="31"/>
      <c r="I1067" s="31"/>
      <c r="J1067" s="3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</row>
    <row r="1068">
      <c r="A1068" s="31"/>
      <c r="B1068" s="31"/>
      <c r="C1068" s="209"/>
      <c r="D1068" s="209"/>
      <c r="E1068" s="209"/>
      <c r="F1068" s="31"/>
      <c r="G1068" s="31"/>
      <c r="H1068" s="31"/>
      <c r="I1068" s="31"/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</row>
    <row r="1069">
      <c r="A1069" s="31"/>
      <c r="B1069" s="31"/>
      <c r="C1069" s="209"/>
      <c r="D1069" s="209"/>
      <c r="E1069" s="209"/>
      <c r="F1069" s="31"/>
      <c r="G1069" s="31"/>
      <c r="H1069" s="31"/>
      <c r="I1069" s="31"/>
      <c r="J1069" s="31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</row>
    <row r="1070">
      <c r="A1070" s="31"/>
      <c r="B1070" s="31"/>
      <c r="C1070" s="209"/>
      <c r="D1070" s="209"/>
      <c r="E1070" s="209"/>
      <c r="F1070" s="31"/>
      <c r="G1070" s="31"/>
      <c r="H1070" s="31"/>
      <c r="I1070" s="31"/>
      <c r="J1070" s="3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</row>
    <row r="1071">
      <c r="A1071" s="31"/>
      <c r="B1071" s="31"/>
      <c r="C1071" s="209"/>
      <c r="D1071" s="209"/>
      <c r="E1071" s="209"/>
      <c r="F1071" s="31"/>
      <c r="G1071" s="31"/>
      <c r="H1071" s="31"/>
      <c r="I1071" s="31"/>
      <c r="J1071" s="31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</row>
    <row r="1072">
      <c r="A1072" s="31"/>
      <c r="B1072" s="31"/>
      <c r="C1072" s="209"/>
      <c r="D1072" s="209"/>
      <c r="E1072" s="209"/>
      <c r="F1072" s="31"/>
      <c r="G1072" s="31"/>
      <c r="H1072" s="31"/>
      <c r="I1072" s="31"/>
      <c r="J1072" s="31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</row>
    <row r="1073">
      <c r="A1073" s="31"/>
      <c r="B1073" s="31"/>
      <c r="C1073" s="209"/>
      <c r="D1073" s="209"/>
      <c r="E1073" s="209"/>
      <c r="F1073" s="31"/>
      <c r="G1073" s="31"/>
      <c r="H1073" s="31"/>
      <c r="I1073" s="31"/>
      <c r="J1073" s="31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</row>
    <row r="1074">
      <c r="A1074" s="31"/>
      <c r="B1074" s="31"/>
      <c r="C1074" s="209"/>
      <c r="D1074" s="209"/>
      <c r="E1074" s="209"/>
      <c r="F1074" s="31"/>
      <c r="G1074" s="31"/>
      <c r="H1074" s="31"/>
      <c r="I1074" s="31"/>
      <c r="J1074" s="31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</row>
    <row r="1075">
      <c r="A1075" s="31"/>
      <c r="B1075" s="31"/>
      <c r="C1075" s="209"/>
      <c r="D1075" s="209"/>
      <c r="E1075" s="209"/>
      <c r="F1075" s="31"/>
      <c r="G1075" s="31"/>
      <c r="H1075" s="31"/>
      <c r="I1075" s="31"/>
      <c r="J1075" s="31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</row>
    <row r="1076">
      <c r="A1076" s="31"/>
      <c r="B1076" s="31"/>
      <c r="C1076" s="209"/>
      <c r="D1076" s="209"/>
      <c r="E1076" s="209"/>
      <c r="F1076" s="31"/>
      <c r="G1076" s="31"/>
      <c r="H1076" s="31"/>
      <c r="I1076" s="31"/>
      <c r="J1076" s="31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</row>
    <row r="1077">
      <c r="A1077" s="31"/>
      <c r="B1077" s="31"/>
      <c r="C1077" s="209"/>
      <c r="D1077" s="209"/>
      <c r="E1077" s="209"/>
      <c r="F1077" s="31"/>
      <c r="G1077" s="31"/>
      <c r="H1077" s="31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</row>
    <row r="1078">
      <c r="A1078" s="31"/>
      <c r="B1078" s="31"/>
      <c r="C1078" s="209"/>
      <c r="D1078" s="209"/>
      <c r="E1078" s="209"/>
      <c r="F1078" s="31"/>
      <c r="G1078" s="31"/>
      <c r="H1078" s="31"/>
      <c r="I1078" s="31"/>
      <c r="J1078" s="31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</row>
    <row r="1079">
      <c r="A1079" s="31"/>
      <c r="B1079" s="31"/>
      <c r="C1079" s="209"/>
      <c r="D1079" s="209"/>
      <c r="E1079" s="209"/>
      <c r="F1079" s="31"/>
      <c r="G1079" s="31"/>
      <c r="H1079" s="31"/>
      <c r="I1079" s="31"/>
      <c r="J1079" s="31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</row>
    <row r="1080">
      <c r="A1080" s="31"/>
      <c r="B1080" s="31"/>
      <c r="C1080" s="209"/>
      <c r="D1080" s="209"/>
      <c r="E1080" s="209"/>
      <c r="F1080" s="31"/>
      <c r="G1080" s="31"/>
      <c r="H1080" s="31"/>
      <c r="I1080" s="31"/>
      <c r="J1080" s="31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</row>
    <row r="1081">
      <c r="A1081" s="31"/>
      <c r="B1081" s="31"/>
      <c r="C1081" s="209"/>
      <c r="D1081" s="209"/>
      <c r="E1081" s="209"/>
      <c r="F1081" s="31"/>
      <c r="G1081" s="31"/>
      <c r="H1081" s="31"/>
      <c r="I1081" s="31"/>
      <c r="J1081" s="31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</row>
    <row r="1082">
      <c r="A1082" s="31"/>
      <c r="B1082" s="31"/>
      <c r="C1082" s="209"/>
      <c r="D1082" s="209"/>
      <c r="E1082" s="209"/>
      <c r="F1082" s="31"/>
      <c r="G1082" s="31"/>
      <c r="H1082" s="31"/>
      <c r="I1082" s="31"/>
      <c r="J1082" s="31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</row>
    <row r="1083">
      <c r="A1083" s="31"/>
      <c r="B1083" s="31"/>
      <c r="C1083" s="209"/>
      <c r="D1083" s="209"/>
      <c r="E1083" s="209"/>
      <c r="F1083" s="31"/>
      <c r="G1083" s="31"/>
      <c r="H1083" s="31"/>
      <c r="I1083" s="31"/>
      <c r="J1083" s="31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</row>
    <row r="1084">
      <c r="A1084" s="31"/>
      <c r="B1084" s="31"/>
      <c r="C1084" s="209"/>
      <c r="D1084" s="209"/>
      <c r="E1084" s="209"/>
      <c r="F1084" s="31"/>
      <c r="G1084" s="31"/>
      <c r="H1084" s="31"/>
      <c r="I1084" s="31"/>
      <c r="J1084" s="31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</row>
    <row r="1085">
      <c r="A1085" s="31"/>
      <c r="B1085" s="31"/>
      <c r="C1085" s="209"/>
      <c r="D1085" s="209"/>
      <c r="E1085" s="209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</row>
    <row r="1086">
      <c r="A1086" s="31"/>
      <c r="B1086" s="31"/>
      <c r="C1086" s="209"/>
      <c r="D1086" s="209"/>
      <c r="E1086" s="209"/>
      <c r="F1086" s="31"/>
      <c r="G1086" s="31"/>
      <c r="H1086" s="31"/>
      <c r="I1086" s="31"/>
      <c r="J1086" s="31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</row>
    <row r="1087">
      <c r="A1087" s="31"/>
      <c r="B1087" s="31"/>
      <c r="C1087" s="209"/>
      <c r="D1087" s="209"/>
      <c r="E1087" s="209"/>
      <c r="F1087" s="31"/>
      <c r="G1087" s="31"/>
      <c r="H1087" s="31"/>
      <c r="I1087" s="31"/>
      <c r="J1087" s="31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</row>
    <row r="1088">
      <c r="A1088" s="31"/>
      <c r="B1088" s="31"/>
      <c r="C1088" s="209"/>
      <c r="D1088" s="209"/>
      <c r="E1088" s="209"/>
      <c r="F1088" s="31"/>
      <c r="G1088" s="31"/>
      <c r="H1088" s="31"/>
      <c r="I1088" s="31"/>
      <c r="J1088" s="31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</row>
    <row r="1089">
      <c r="A1089" s="31"/>
      <c r="B1089" s="31"/>
      <c r="C1089" s="209"/>
      <c r="D1089" s="209"/>
      <c r="E1089" s="209"/>
      <c r="F1089" s="31"/>
      <c r="G1089" s="31"/>
      <c r="H1089" s="31"/>
      <c r="I1089" s="31"/>
      <c r="J1089" s="31"/>
      <c r="K1089" s="31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</row>
    <row r="1090">
      <c r="A1090" s="31"/>
      <c r="B1090" s="31"/>
      <c r="C1090" s="209"/>
      <c r="D1090" s="209"/>
      <c r="E1090" s="209"/>
      <c r="F1090" s="31"/>
      <c r="G1090" s="31"/>
      <c r="H1090" s="31"/>
      <c r="I1090" s="31"/>
      <c r="J1090" s="31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</row>
    <row r="1091">
      <c r="A1091" s="31"/>
      <c r="B1091" s="31"/>
      <c r="C1091" s="209"/>
      <c r="D1091" s="209"/>
      <c r="E1091" s="209"/>
      <c r="F1091" s="31"/>
      <c r="G1091" s="31"/>
      <c r="H1091" s="31"/>
      <c r="I1091" s="31"/>
      <c r="J1091" s="31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</row>
    <row r="1092">
      <c r="A1092" s="31"/>
      <c r="B1092" s="31"/>
      <c r="C1092" s="209"/>
      <c r="D1092" s="209"/>
      <c r="E1092" s="209"/>
      <c r="F1092" s="31"/>
      <c r="G1092" s="31"/>
      <c r="H1092" s="31"/>
      <c r="I1092" s="31"/>
      <c r="J1092" s="31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</row>
    <row r="1093">
      <c r="A1093" s="31"/>
      <c r="B1093" s="31"/>
      <c r="C1093" s="209"/>
      <c r="D1093" s="209"/>
      <c r="E1093" s="209"/>
      <c r="F1093" s="31"/>
      <c r="G1093" s="31"/>
      <c r="H1093" s="31"/>
      <c r="I1093" s="31"/>
      <c r="J1093" s="31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</row>
    <row r="1094">
      <c r="A1094" s="31"/>
      <c r="B1094" s="31"/>
      <c r="C1094" s="209"/>
      <c r="D1094" s="209"/>
      <c r="E1094" s="209"/>
      <c r="F1094" s="31"/>
      <c r="G1094" s="31"/>
      <c r="H1094" s="31"/>
      <c r="I1094" s="31"/>
      <c r="J1094" s="31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</row>
    <row r="1095">
      <c r="A1095" s="31"/>
      <c r="B1095" s="31"/>
      <c r="C1095" s="209"/>
      <c r="D1095" s="209"/>
      <c r="E1095" s="209"/>
      <c r="F1095" s="31"/>
      <c r="G1095" s="31"/>
      <c r="H1095" s="31"/>
      <c r="I1095" s="31"/>
      <c r="J1095" s="31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</row>
    <row r="1096">
      <c r="A1096" s="31"/>
      <c r="B1096" s="31"/>
      <c r="C1096" s="209"/>
      <c r="D1096" s="209"/>
      <c r="E1096" s="209"/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</row>
    <row r="1097">
      <c r="A1097" s="31"/>
      <c r="B1097" s="31"/>
      <c r="C1097" s="209"/>
      <c r="D1097" s="209"/>
      <c r="E1097" s="209"/>
      <c r="F1097" s="31"/>
      <c r="G1097" s="31"/>
      <c r="H1097" s="31"/>
      <c r="I1097" s="31"/>
      <c r="J1097" s="31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</row>
    <row r="1098">
      <c r="A1098" s="31"/>
      <c r="B1098" s="31"/>
      <c r="C1098" s="209"/>
      <c r="D1098" s="209"/>
      <c r="E1098" s="209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</row>
    <row r="1099">
      <c r="A1099" s="31"/>
      <c r="B1099" s="31"/>
      <c r="C1099" s="209"/>
      <c r="D1099" s="209"/>
      <c r="E1099" s="209"/>
      <c r="F1099" s="31"/>
      <c r="G1099" s="31"/>
      <c r="H1099" s="31"/>
      <c r="I1099" s="31"/>
      <c r="J1099" s="31"/>
      <c r="K1099" s="31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</row>
    <row r="1100">
      <c r="A1100" s="31"/>
      <c r="B1100" s="31"/>
      <c r="C1100" s="209"/>
      <c r="D1100" s="209"/>
      <c r="E1100" s="209"/>
      <c r="F1100" s="31"/>
      <c r="G1100" s="31"/>
      <c r="H1100" s="31"/>
      <c r="I1100" s="31"/>
      <c r="J1100" s="31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</row>
    <row r="1101">
      <c r="A1101" s="31"/>
      <c r="B1101" s="31"/>
      <c r="C1101" s="209"/>
      <c r="D1101" s="209"/>
      <c r="E1101" s="209"/>
      <c r="F1101" s="31"/>
      <c r="G1101" s="31"/>
      <c r="H1101" s="31"/>
      <c r="I1101" s="31"/>
      <c r="J1101" s="31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</row>
    <row r="1102">
      <c r="A1102" s="31"/>
      <c r="B1102" s="31"/>
      <c r="C1102" s="209"/>
      <c r="D1102" s="209"/>
      <c r="E1102" s="209"/>
      <c r="F1102" s="31"/>
      <c r="G1102" s="31"/>
      <c r="H1102" s="31"/>
      <c r="I1102" s="31"/>
      <c r="J1102" s="31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</row>
    <row r="1103">
      <c r="A1103" s="31"/>
      <c r="B1103" s="31"/>
      <c r="C1103" s="209"/>
      <c r="D1103" s="209"/>
      <c r="E1103" s="209"/>
      <c r="F1103" s="31"/>
      <c r="G1103" s="31"/>
      <c r="H1103" s="31"/>
      <c r="I1103" s="31"/>
      <c r="J1103" s="31"/>
      <c r="K1103" s="31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</row>
    <row r="1104">
      <c r="A1104" s="31"/>
      <c r="B1104" s="31"/>
      <c r="C1104" s="209"/>
      <c r="D1104" s="209"/>
      <c r="E1104" s="209"/>
      <c r="F1104" s="31"/>
      <c r="G1104" s="31"/>
      <c r="H1104" s="31"/>
      <c r="I1104" s="31"/>
      <c r="J1104" s="31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</row>
    <row r="1105">
      <c r="A1105" s="31"/>
      <c r="B1105" s="31"/>
      <c r="C1105" s="209"/>
      <c r="D1105" s="209"/>
      <c r="E1105" s="209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</row>
    <row r="1106">
      <c r="A1106" s="31"/>
      <c r="B1106" s="31"/>
      <c r="C1106" s="209"/>
      <c r="D1106" s="209"/>
      <c r="E1106" s="209"/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</row>
    <row r="1107">
      <c r="A1107" s="31"/>
      <c r="B1107" s="31"/>
      <c r="C1107" s="209"/>
      <c r="D1107" s="209"/>
      <c r="E1107" s="209"/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</row>
    <row r="1108">
      <c r="A1108" s="31"/>
      <c r="B1108" s="31"/>
      <c r="C1108" s="209"/>
      <c r="D1108" s="209"/>
      <c r="E1108" s="209"/>
      <c r="F1108" s="31"/>
      <c r="G1108" s="31"/>
      <c r="H1108" s="31"/>
      <c r="I1108" s="31"/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</row>
    <row r="1109">
      <c r="A1109" s="31"/>
      <c r="B1109" s="31"/>
      <c r="C1109" s="209"/>
      <c r="D1109" s="209"/>
      <c r="E1109" s="209"/>
      <c r="F1109" s="31"/>
      <c r="G1109" s="31"/>
      <c r="H1109" s="31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</row>
    <row r="1110">
      <c r="A1110" s="31"/>
      <c r="B1110" s="31"/>
      <c r="C1110" s="209"/>
      <c r="D1110" s="209"/>
      <c r="E1110" s="209"/>
      <c r="F1110" s="31"/>
      <c r="G1110" s="31"/>
      <c r="H1110" s="31"/>
      <c r="I1110" s="31"/>
      <c r="J1110" s="31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1"/>
      <c r="Z1110" s="31"/>
    </row>
    <row r="1111">
      <c r="A1111" s="31"/>
      <c r="B1111" s="31"/>
      <c r="C1111" s="209"/>
      <c r="D1111" s="209"/>
      <c r="E1111" s="209"/>
      <c r="F1111" s="31"/>
      <c r="G1111" s="31"/>
      <c r="H1111" s="31"/>
      <c r="I1111" s="31"/>
      <c r="J1111" s="31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</row>
    <row r="1112">
      <c r="A1112" s="31"/>
      <c r="B1112" s="31"/>
      <c r="C1112" s="209"/>
      <c r="D1112" s="209"/>
      <c r="E1112" s="209"/>
      <c r="F1112" s="31"/>
      <c r="G1112" s="31"/>
      <c r="H1112" s="31"/>
      <c r="I1112" s="31"/>
      <c r="J1112" s="31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</row>
    <row r="1113">
      <c r="A1113" s="31"/>
      <c r="B1113" s="31"/>
      <c r="C1113" s="209"/>
      <c r="D1113" s="209"/>
      <c r="E1113" s="209"/>
      <c r="F1113" s="31"/>
      <c r="G1113" s="31"/>
      <c r="H1113" s="31"/>
      <c r="I1113" s="31"/>
      <c r="J1113" s="31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</row>
    <row r="1114">
      <c r="A1114" s="31"/>
      <c r="B1114" s="31"/>
      <c r="C1114" s="209"/>
      <c r="D1114" s="209"/>
      <c r="E1114" s="209"/>
      <c r="F1114" s="31"/>
      <c r="G1114" s="31"/>
      <c r="H1114" s="31"/>
      <c r="I1114" s="31"/>
      <c r="J1114" s="31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</row>
    <row r="1115">
      <c r="A1115" s="31"/>
      <c r="B1115" s="31"/>
      <c r="C1115" s="209"/>
      <c r="D1115" s="209"/>
      <c r="E1115" s="209"/>
      <c r="F1115" s="31"/>
      <c r="G1115" s="31"/>
      <c r="H1115" s="31"/>
      <c r="I1115" s="31"/>
      <c r="J1115" s="31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1"/>
      <c r="Z1115" s="31"/>
    </row>
    <row r="1116">
      <c r="A1116" s="31"/>
      <c r="B1116" s="31"/>
      <c r="C1116" s="209"/>
      <c r="D1116" s="209"/>
      <c r="E1116" s="209"/>
      <c r="F1116" s="31"/>
      <c r="G1116" s="31"/>
      <c r="H1116" s="31"/>
      <c r="I1116" s="31"/>
      <c r="J1116" s="31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</row>
    <row r="1117">
      <c r="A1117" s="31"/>
      <c r="B1117" s="31"/>
      <c r="C1117" s="209"/>
      <c r="D1117" s="209"/>
      <c r="E1117" s="209"/>
      <c r="F1117" s="31"/>
      <c r="G1117" s="31"/>
      <c r="H1117" s="31"/>
      <c r="I1117" s="31"/>
      <c r="J1117" s="31"/>
      <c r="K1117" s="31"/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1"/>
      <c r="Z1117" s="31"/>
    </row>
    <row r="1118">
      <c r="A1118" s="31"/>
      <c r="B1118" s="31"/>
      <c r="C1118" s="209"/>
      <c r="D1118" s="209"/>
      <c r="E1118" s="209"/>
      <c r="F1118" s="31"/>
      <c r="G1118" s="31"/>
      <c r="H1118" s="31"/>
      <c r="I1118" s="31"/>
      <c r="J1118" s="31"/>
      <c r="K1118" s="31"/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1"/>
      <c r="Z1118" s="31"/>
    </row>
    <row r="1119">
      <c r="A1119" s="31"/>
      <c r="B1119" s="31"/>
      <c r="C1119" s="209"/>
      <c r="D1119" s="209"/>
      <c r="E1119" s="209"/>
      <c r="F1119" s="31"/>
      <c r="G1119" s="31"/>
      <c r="H1119" s="31"/>
      <c r="I1119" s="31"/>
      <c r="J1119" s="31"/>
      <c r="K1119" s="31"/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1"/>
      <c r="Z1119" s="31"/>
    </row>
    <row r="1120">
      <c r="A1120" s="31"/>
      <c r="B1120" s="31"/>
      <c r="C1120" s="209"/>
      <c r="D1120" s="209"/>
      <c r="E1120" s="209"/>
      <c r="F1120" s="31"/>
      <c r="G1120" s="31"/>
      <c r="H1120" s="31"/>
      <c r="I1120" s="31"/>
      <c r="J1120" s="31"/>
      <c r="K1120" s="31"/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  <c r="Z1120" s="31"/>
    </row>
    <row r="1121">
      <c r="A1121" s="31"/>
      <c r="B1121" s="31"/>
      <c r="C1121" s="209"/>
      <c r="D1121" s="209"/>
      <c r="E1121" s="209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  <c r="Z1121" s="31"/>
    </row>
    <row r="1122">
      <c r="A1122" s="31"/>
      <c r="B1122" s="31"/>
      <c r="C1122" s="209"/>
      <c r="D1122" s="209"/>
      <c r="E1122" s="209"/>
      <c r="F1122" s="31"/>
      <c r="G1122" s="31"/>
      <c r="H1122" s="31"/>
      <c r="I1122" s="31"/>
      <c r="J1122" s="31"/>
      <c r="K1122" s="31"/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  <c r="Z1122" s="31"/>
    </row>
    <row r="1123">
      <c r="A1123" s="31"/>
      <c r="B1123" s="31"/>
      <c r="C1123" s="209"/>
      <c r="D1123" s="209"/>
      <c r="E1123" s="209"/>
      <c r="F1123" s="31"/>
      <c r="G1123" s="31"/>
      <c r="H1123" s="31"/>
      <c r="I1123" s="31"/>
      <c r="J1123" s="31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  <c r="Z1123" s="31"/>
    </row>
    <row r="1124">
      <c r="A1124" s="31"/>
      <c r="B1124" s="31"/>
      <c r="C1124" s="209"/>
      <c r="D1124" s="209"/>
      <c r="E1124" s="209"/>
      <c r="F1124" s="31"/>
      <c r="G1124" s="31"/>
      <c r="H1124" s="31"/>
      <c r="I1124" s="31"/>
      <c r="J1124" s="31"/>
      <c r="K1124" s="31"/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</row>
    <row r="1125">
      <c r="A1125" s="31"/>
      <c r="B1125" s="31"/>
      <c r="C1125" s="209"/>
      <c r="D1125" s="209"/>
      <c r="E1125" s="209"/>
      <c r="F1125" s="31"/>
      <c r="G1125" s="31"/>
      <c r="H1125" s="31"/>
      <c r="I1125" s="31"/>
      <c r="J1125" s="31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1"/>
      <c r="Z1125" s="31"/>
    </row>
    <row r="1126">
      <c r="A1126" s="31"/>
      <c r="B1126" s="31"/>
      <c r="C1126" s="209"/>
      <c r="D1126" s="209"/>
      <c r="E1126" s="209"/>
      <c r="F1126" s="31"/>
      <c r="G1126" s="31"/>
      <c r="H1126" s="31"/>
      <c r="I1126" s="31"/>
      <c r="J1126" s="31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</row>
    <row r="1127">
      <c r="A1127" s="31"/>
      <c r="B1127" s="31"/>
      <c r="C1127" s="209"/>
      <c r="D1127" s="209"/>
      <c r="E1127" s="209"/>
      <c r="F1127" s="31"/>
      <c r="G1127" s="31"/>
      <c r="H1127" s="31"/>
      <c r="I1127" s="31"/>
      <c r="J1127" s="31"/>
      <c r="K1127" s="31"/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1"/>
      <c r="Z1127" s="31"/>
    </row>
    <row r="1128">
      <c r="A1128" s="31"/>
      <c r="B1128" s="31"/>
      <c r="C1128" s="209"/>
      <c r="D1128" s="209"/>
      <c r="E1128" s="209"/>
      <c r="F1128" s="31"/>
      <c r="G1128" s="31"/>
      <c r="H1128" s="31"/>
      <c r="I1128" s="31"/>
      <c r="J1128" s="31"/>
      <c r="K1128" s="31"/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  <c r="Z1128" s="31"/>
    </row>
    <row r="1129">
      <c r="A1129" s="31"/>
      <c r="B1129" s="31"/>
      <c r="C1129" s="209"/>
      <c r="D1129" s="209"/>
      <c r="E1129" s="209"/>
      <c r="F1129" s="31"/>
      <c r="G1129" s="31"/>
      <c r="H1129" s="31"/>
      <c r="I1129" s="31"/>
      <c r="J1129" s="31"/>
      <c r="K1129" s="31"/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1"/>
      <c r="Z1129" s="31"/>
    </row>
    <row r="1130">
      <c r="A1130" s="31"/>
      <c r="B1130" s="31"/>
      <c r="C1130" s="209"/>
      <c r="D1130" s="209"/>
      <c r="E1130" s="209"/>
      <c r="F1130" s="31"/>
      <c r="G1130" s="31"/>
      <c r="H1130" s="31"/>
      <c r="I1130" s="31"/>
      <c r="J1130" s="31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</row>
    <row r="1131">
      <c r="A1131" s="31"/>
      <c r="B1131" s="31"/>
      <c r="C1131" s="209"/>
      <c r="D1131" s="209"/>
      <c r="E1131" s="209"/>
      <c r="F1131" s="31"/>
      <c r="G1131" s="31"/>
      <c r="H1131" s="31"/>
      <c r="I1131" s="31"/>
      <c r="J1131" s="31"/>
      <c r="K1131" s="31"/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1"/>
      <c r="Z1131" s="31"/>
    </row>
    <row r="1132">
      <c r="A1132" s="31"/>
      <c r="B1132" s="31"/>
      <c r="C1132" s="209"/>
      <c r="D1132" s="209"/>
      <c r="E1132" s="209"/>
      <c r="F1132" s="31"/>
      <c r="G1132" s="31"/>
      <c r="H1132" s="31"/>
      <c r="I1132" s="31"/>
      <c r="J1132" s="31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1"/>
      <c r="Z1132" s="31"/>
    </row>
    <row r="1133">
      <c r="A1133" s="31"/>
      <c r="B1133" s="31"/>
      <c r="C1133" s="209"/>
      <c r="D1133" s="209"/>
      <c r="E1133" s="209"/>
      <c r="F1133" s="31"/>
      <c r="G1133" s="31"/>
      <c r="H1133" s="31"/>
      <c r="I1133" s="31"/>
      <c r="J1133" s="31"/>
      <c r="K1133" s="31"/>
      <c r="L1133" s="31"/>
      <c r="M1133" s="31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1"/>
      <c r="Z1133" s="31"/>
    </row>
    <row r="1134">
      <c r="A1134" s="31"/>
      <c r="B1134" s="31"/>
      <c r="C1134" s="209"/>
      <c r="D1134" s="209"/>
      <c r="E1134" s="209"/>
      <c r="F1134" s="31"/>
      <c r="G1134" s="31"/>
      <c r="H1134" s="31"/>
      <c r="I1134" s="31"/>
      <c r="J1134" s="31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1"/>
      <c r="Z1134" s="31"/>
    </row>
    <row r="1135">
      <c r="A1135" s="31"/>
      <c r="B1135" s="31"/>
      <c r="C1135" s="209"/>
      <c r="D1135" s="209"/>
      <c r="E1135" s="209"/>
      <c r="F1135" s="31"/>
      <c r="G1135" s="31"/>
      <c r="H1135" s="31"/>
      <c r="I1135" s="31"/>
      <c r="J1135" s="31"/>
      <c r="K1135" s="31"/>
      <c r="L1135" s="31"/>
      <c r="M1135" s="31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</row>
    <row r="1136">
      <c r="A1136" s="31"/>
      <c r="B1136" s="31"/>
      <c r="C1136" s="209"/>
      <c r="D1136" s="209"/>
      <c r="E1136" s="209"/>
      <c r="F1136" s="31"/>
      <c r="G1136" s="31"/>
      <c r="H1136" s="31"/>
      <c r="I1136" s="31"/>
      <c r="J1136" s="31"/>
      <c r="K1136" s="31"/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1"/>
      <c r="Z1136" s="31"/>
    </row>
    <row r="1137">
      <c r="A1137" s="31"/>
      <c r="B1137" s="31"/>
      <c r="C1137" s="209"/>
      <c r="D1137" s="209"/>
      <c r="E1137" s="209"/>
      <c r="F1137" s="31"/>
      <c r="G1137" s="31"/>
      <c r="H1137" s="31"/>
      <c r="I1137" s="31"/>
      <c r="J1137" s="31"/>
      <c r="K1137" s="31"/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</row>
    <row r="1138">
      <c r="A1138" s="31"/>
      <c r="B1138" s="31"/>
      <c r="C1138" s="209"/>
      <c r="D1138" s="209"/>
      <c r="E1138" s="209"/>
      <c r="F1138" s="31"/>
      <c r="G1138" s="31"/>
      <c r="H1138" s="31"/>
      <c r="I1138" s="31"/>
      <c r="J1138" s="31"/>
      <c r="K1138" s="31"/>
      <c r="L1138" s="31"/>
      <c r="M1138" s="31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1"/>
      <c r="Z1138" s="31"/>
    </row>
    <row r="1139">
      <c r="A1139" s="31"/>
      <c r="B1139" s="31"/>
      <c r="C1139" s="209"/>
      <c r="D1139" s="209"/>
      <c r="E1139" s="209"/>
      <c r="F1139" s="31"/>
      <c r="G1139" s="31"/>
      <c r="H1139" s="31"/>
      <c r="I1139" s="31"/>
      <c r="J1139" s="31"/>
      <c r="K1139" s="31"/>
      <c r="L1139" s="31"/>
      <c r="M1139" s="31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1"/>
      <c r="Z1139" s="31"/>
    </row>
    <row r="1140">
      <c r="A1140" s="31"/>
      <c r="B1140" s="31"/>
      <c r="C1140" s="209"/>
      <c r="D1140" s="209"/>
      <c r="E1140" s="209"/>
      <c r="F1140" s="31"/>
      <c r="G1140" s="31"/>
      <c r="H1140" s="31"/>
      <c r="I1140" s="31"/>
      <c r="J1140" s="31"/>
      <c r="K1140" s="31"/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1"/>
      <c r="Z1140" s="31"/>
    </row>
    <row r="1141">
      <c r="A1141" s="31"/>
      <c r="B1141" s="31"/>
      <c r="C1141" s="209"/>
      <c r="D1141" s="209"/>
      <c r="E1141" s="209"/>
      <c r="F1141" s="31"/>
      <c r="G1141" s="31"/>
      <c r="H1141" s="31"/>
      <c r="I1141" s="31"/>
      <c r="J1141" s="31"/>
      <c r="K1141" s="31"/>
      <c r="L1141" s="31"/>
      <c r="M1141" s="31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1"/>
      <c r="Z1141" s="31"/>
    </row>
    <row r="1142">
      <c r="A1142" s="31"/>
      <c r="B1142" s="31"/>
      <c r="C1142" s="209"/>
      <c r="D1142" s="209"/>
      <c r="E1142" s="209"/>
      <c r="F1142" s="31"/>
      <c r="G1142" s="31"/>
      <c r="H1142" s="31"/>
      <c r="I1142" s="31"/>
      <c r="J1142" s="31"/>
      <c r="K1142" s="31"/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1"/>
      <c r="Z1142" s="31"/>
    </row>
    <row r="1143">
      <c r="A1143" s="31"/>
      <c r="B1143" s="31"/>
      <c r="C1143" s="209"/>
      <c r="D1143" s="209"/>
      <c r="E1143" s="209"/>
      <c r="F1143" s="31"/>
      <c r="G1143" s="31"/>
      <c r="H1143" s="31"/>
      <c r="I1143" s="31"/>
      <c r="J1143" s="31"/>
      <c r="K1143" s="31"/>
      <c r="L1143" s="31"/>
      <c r="M1143" s="31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1"/>
      <c r="Z1143" s="31"/>
    </row>
    <row r="1144">
      <c r="A1144" s="31"/>
      <c r="B1144" s="31"/>
      <c r="C1144" s="209"/>
      <c r="D1144" s="209"/>
      <c r="E1144" s="209"/>
      <c r="F1144" s="31"/>
      <c r="G1144" s="31"/>
      <c r="H1144" s="31"/>
      <c r="I1144" s="31"/>
      <c r="J1144" s="31"/>
      <c r="K1144" s="31"/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</row>
    <row r="1145">
      <c r="A1145" s="31"/>
      <c r="B1145" s="31"/>
      <c r="C1145" s="209"/>
      <c r="D1145" s="209"/>
      <c r="E1145" s="209"/>
      <c r="F1145" s="31"/>
      <c r="G1145" s="31"/>
      <c r="H1145" s="31"/>
      <c r="I1145" s="31"/>
      <c r="J1145" s="31"/>
      <c r="K1145" s="31"/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1"/>
      <c r="Z1145" s="31"/>
    </row>
    <row r="1146">
      <c r="A1146" s="31"/>
      <c r="B1146" s="31"/>
      <c r="C1146" s="209"/>
      <c r="D1146" s="209"/>
      <c r="E1146" s="209"/>
      <c r="F1146" s="31"/>
      <c r="G1146" s="31"/>
      <c r="H1146" s="31"/>
      <c r="I1146" s="31"/>
      <c r="J1146" s="31"/>
      <c r="K1146" s="31"/>
      <c r="L1146" s="31"/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</row>
    <row r="1147">
      <c r="A1147" s="31"/>
      <c r="B1147" s="31"/>
      <c r="C1147" s="209"/>
      <c r="D1147" s="209"/>
      <c r="E1147" s="209"/>
      <c r="F1147" s="31"/>
      <c r="G1147" s="31"/>
      <c r="H1147" s="31"/>
      <c r="I1147" s="31"/>
      <c r="J1147" s="31"/>
      <c r="K1147" s="31"/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</row>
    <row r="1148">
      <c r="A1148" s="31"/>
      <c r="B1148" s="31"/>
      <c r="C1148" s="209"/>
      <c r="D1148" s="209"/>
      <c r="E1148" s="209"/>
      <c r="F1148" s="31"/>
      <c r="G1148" s="31"/>
      <c r="H1148" s="31"/>
      <c r="I1148" s="31"/>
      <c r="J1148" s="31"/>
      <c r="K1148" s="31"/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31"/>
    </row>
    <row r="1149">
      <c r="A1149" s="31"/>
      <c r="B1149" s="31"/>
      <c r="C1149" s="209"/>
      <c r="D1149" s="209"/>
      <c r="E1149" s="209"/>
      <c r="F1149" s="31"/>
      <c r="G1149" s="31"/>
      <c r="H1149" s="31"/>
      <c r="I1149" s="31"/>
      <c r="J1149" s="31"/>
      <c r="K1149" s="31"/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</row>
    <row r="1150">
      <c r="A1150" s="31"/>
      <c r="B1150" s="31"/>
      <c r="C1150" s="209"/>
      <c r="D1150" s="209"/>
      <c r="E1150" s="209"/>
      <c r="F1150" s="31"/>
      <c r="G1150" s="31"/>
      <c r="H1150" s="31"/>
      <c r="I1150" s="31"/>
      <c r="J1150" s="31"/>
      <c r="K1150" s="31"/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</row>
    <row r="1151">
      <c r="A1151" s="31"/>
      <c r="B1151" s="31"/>
      <c r="C1151" s="209"/>
      <c r="D1151" s="209"/>
      <c r="E1151" s="209"/>
      <c r="F1151" s="31"/>
      <c r="G1151" s="31"/>
      <c r="H1151" s="31"/>
      <c r="I1151" s="31"/>
      <c r="J1151" s="31"/>
      <c r="K1151" s="31"/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</row>
    <row r="1152">
      <c r="A1152" s="31"/>
      <c r="B1152" s="31"/>
      <c r="C1152" s="209"/>
      <c r="D1152" s="209"/>
      <c r="E1152" s="209"/>
      <c r="F1152" s="31"/>
      <c r="G1152" s="31"/>
      <c r="H1152" s="31"/>
      <c r="I1152" s="31"/>
      <c r="J1152" s="31"/>
      <c r="K1152" s="31"/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</row>
    <row r="1153">
      <c r="A1153" s="31"/>
      <c r="B1153" s="31"/>
      <c r="C1153" s="209"/>
      <c r="D1153" s="209"/>
      <c r="E1153" s="209"/>
      <c r="F1153" s="31"/>
      <c r="G1153" s="31"/>
      <c r="H1153" s="31"/>
      <c r="I1153" s="31"/>
      <c r="J1153" s="31"/>
      <c r="K1153" s="31"/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1"/>
      <c r="Z1153" s="31"/>
    </row>
    <row r="1154">
      <c r="A1154" s="31"/>
      <c r="B1154" s="31"/>
      <c r="C1154" s="209"/>
      <c r="D1154" s="209"/>
      <c r="E1154" s="209"/>
      <c r="F1154" s="31"/>
      <c r="G1154" s="31"/>
      <c r="H1154" s="31"/>
      <c r="I1154" s="31"/>
      <c r="J1154" s="31"/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</row>
    <row r="1155">
      <c r="A1155" s="31"/>
      <c r="B1155" s="31"/>
      <c r="C1155" s="209"/>
      <c r="D1155" s="209"/>
      <c r="E1155" s="209"/>
      <c r="F1155" s="31"/>
      <c r="G1155" s="31"/>
      <c r="H1155" s="31"/>
      <c r="I1155" s="31"/>
      <c r="J1155" s="31"/>
      <c r="K1155" s="31"/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1"/>
      <c r="Z1155" s="31"/>
    </row>
    <row r="1156">
      <c r="A1156" s="31"/>
      <c r="B1156" s="31"/>
      <c r="C1156" s="209"/>
      <c r="D1156" s="209"/>
      <c r="E1156" s="209"/>
      <c r="F1156" s="31"/>
      <c r="G1156" s="31"/>
      <c r="H1156" s="31"/>
      <c r="I1156" s="31"/>
      <c r="J1156" s="31"/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</row>
    <row r="1157">
      <c r="A1157" s="31"/>
      <c r="B1157" s="31"/>
      <c r="C1157" s="209"/>
      <c r="D1157" s="209"/>
      <c r="E1157" s="209"/>
      <c r="F1157" s="31"/>
      <c r="G1157" s="31"/>
      <c r="H1157" s="31"/>
      <c r="I1157" s="31"/>
      <c r="J1157" s="31"/>
      <c r="K1157" s="31"/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1"/>
      <c r="Z1157" s="31"/>
    </row>
    <row r="1158">
      <c r="A1158" s="31"/>
      <c r="B1158" s="31"/>
      <c r="C1158" s="209"/>
      <c r="D1158" s="209"/>
      <c r="E1158" s="209"/>
      <c r="F1158" s="31"/>
      <c r="G1158" s="31"/>
      <c r="H1158" s="31"/>
      <c r="I1158" s="31"/>
      <c r="J1158" s="31"/>
      <c r="K1158" s="31"/>
      <c r="L1158" s="31"/>
      <c r="M1158" s="31"/>
      <c r="N1158" s="31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1"/>
      <c r="Z1158" s="31"/>
    </row>
    <row r="1159">
      <c r="A1159" s="31"/>
      <c r="B1159" s="31"/>
      <c r="C1159" s="209"/>
      <c r="D1159" s="209"/>
      <c r="E1159" s="209"/>
      <c r="F1159" s="31"/>
      <c r="G1159" s="31"/>
      <c r="H1159" s="31"/>
      <c r="I1159" s="31"/>
      <c r="J1159" s="31"/>
      <c r="K1159" s="31"/>
      <c r="L1159" s="31"/>
      <c r="M1159" s="31"/>
      <c r="N1159" s="31"/>
      <c r="O1159" s="31"/>
      <c r="P1159" s="31"/>
      <c r="Q1159" s="31"/>
      <c r="R1159" s="31"/>
      <c r="S1159" s="31"/>
      <c r="T1159" s="31"/>
      <c r="U1159" s="31"/>
      <c r="V1159" s="31"/>
      <c r="W1159" s="31"/>
      <c r="X1159" s="31"/>
      <c r="Y1159" s="31"/>
      <c r="Z1159" s="31"/>
    </row>
    <row r="1160">
      <c r="A1160" s="31"/>
      <c r="B1160" s="31"/>
      <c r="C1160" s="209"/>
      <c r="D1160" s="209"/>
      <c r="E1160" s="209"/>
      <c r="F1160" s="31"/>
      <c r="G1160" s="31"/>
      <c r="H1160" s="31"/>
      <c r="I1160" s="31"/>
      <c r="J1160" s="31"/>
      <c r="K1160" s="31"/>
      <c r="L1160" s="31"/>
      <c r="M1160" s="31"/>
      <c r="N1160" s="31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1"/>
      <c r="Z1160" s="31"/>
    </row>
    <row r="1161">
      <c r="A1161" s="31"/>
      <c r="B1161" s="31"/>
      <c r="C1161" s="209"/>
      <c r="D1161" s="209"/>
      <c r="E1161" s="209"/>
      <c r="F1161" s="31"/>
      <c r="G1161" s="31"/>
      <c r="H1161" s="31"/>
      <c r="I1161" s="31"/>
      <c r="J1161" s="31"/>
      <c r="K1161" s="31"/>
      <c r="L1161" s="31"/>
      <c r="M1161" s="31"/>
      <c r="N1161" s="31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1"/>
      <c r="Z1161" s="31"/>
    </row>
    <row r="1162">
      <c r="A1162" s="31"/>
      <c r="B1162" s="31"/>
      <c r="C1162" s="209"/>
      <c r="D1162" s="209"/>
      <c r="E1162" s="209"/>
      <c r="F1162" s="31"/>
      <c r="G1162" s="31"/>
      <c r="H1162" s="31"/>
      <c r="I1162" s="31"/>
      <c r="J1162" s="31"/>
      <c r="K1162" s="31"/>
      <c r="L1162" s="31"/>
      <c r="M1162" s="31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1"/>
      <c r="Z1162" s="31"/>
    </row>
    <row r="1163">
      <c r="A1163" s="31"/>
      <c r="B1163" s="31"/>
      <c r="C1163" s="209"/>
      <c r="D1163" s="209"/>
      <c r="E1163" s="209"/>
      <c r="F1163" s="31"/>
      <c r="G1163" s="31"/>
      <c r="H1163" s="31"/>
      <c r="I1163" s="31"/>
      <c r="J1163" s="31"/>
      <c r="K1163" s="31"/>
      <c r="L1163" s="31"/>
      <c r="M1163" s="31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1"/>
      <c r="Z1163" s="31"/>
    </row>
    <row r="1164">
      <c r="A1164" s="31"/>
      <c r="B1164" s="31"/>
      <c r="C1164" s="209"/>
      <c r="D1164" s="209"/>
      <c r="E1164" s="209"/>
      <c r="F1164" s="31"/>
      <c r="G1164" s="31"/>
      <c r="H1164" s="31"/>
      <c r="I1164" s="31"/>
      <c r="J1164" s="31"/>
      <c r="K1164" s="31"/>
      <c r="L1164" s="31"/>
      <c r="M1164" s="31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1"/>
      <c r="Y1164" s="31"/>
      <c r="Z1164" s="31"/>
    </row>
    <row r="1165">
      <c r="A1165" s="31"/>
      <c r="B1165" s="31"/>
      <c r="C1165" s="209"/>
      <c r="D1165" s="209"/>
      <c r="E1165" s="209"/>
      <c r="F1165" s="31"/>
      <c r="G1165" s="31"/>
      <c r="H1165" s="31"/>
      <c r="I1165" s="31"/>
      <c r="J1165" s="31"/>
      <c r="K1165" s="31"/>
      <c r="L1165" s="31"/>
      <c r="M1165" s="31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1"/>
      <c r="Z1165" s="31"/>
    </row>
    <row r="1166">
      <c r="A1166" s="31"/>
      <c r="B1166" s="31"/>
      <c r="C1166" s="209"/>
      <c r="D1166" s="209"/>
      <c r="E1166" s="209"/>
      <c r="F1166" s="31"/>
      <c r="G1166" s="31"/>
      <c r="H1166" s="31"/>
      <c r="I1166" s="31"/>
      <c r="J1166" s="31"/>
      <c r="K1166" s="31"/>
      <c r="L1166" s="31"/>
      <c r="M1166" s="31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1"/>
      <c r="Z1166" s="31"/>
    </row>
    <row r="1167">
      <c r="A1167" s="31"/>
      <c r="B1167" s="31"/>
      <c r="C1167" s="209"/>
      <c r="D1167" s="209"/>
      <c r="E1167" s="209"/>
      <c r="F1167" s="31"/>
      <c r="G1167" s="31"/>
      <c r="H1167" s="31"/>
      <c r="I1167" s="31"/>
      <c r="J1167" s="31"/>
      <c r="K1167" s="31"/>
      <c r="L1167" s="31"/>
      <c r="M1167" s="31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1"/>
      <c r="Z1167" s="31"/>
    </row>
    <row r="1168">
      <c r="A1168" s="31"/>
      <c r="B1168" s="31"/>
      <c r="C1168" s="209"/>
      <c r="D1168" s="209"/>
      <c r="E1168" s="209"/>
      <c r="F1168" s="31"/>
      <c r="G1168" s="31"/>
      <c r="H1168" s="31"/>
      <c r="I1168" s="31"/>
      <c r="J1168" s="31"/>
      <c r="K1168" s="31"/>
      <c r="L1168" s="31"/>
      <c r="M1168" s="31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1"/>
      <c r="Z1168" s="31"/>
    </row>
    <row r="1169">
      <c r="A1169" s="31"/>
      <c r="B1169" s="31"/>
      <c r="C1169" s="209"/>
      <c r="D1169" s="209"/>
      <c r="E1169" s="209"/>
      <c r="F1169" s="31"/>
      <c r="G1169" s="31"/>
      <c r="H1169" s="31"/>
      <c r="I1169" s="31"/>
      <c r="J1169" s="31"/>
      <c r="K1169" s="31"/>
      <c r="L1169" s="31"/>
      <c r="M1169" s="31"/>
      <c r="N1169" s="31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1"/>
      <c r="Z1169" s="31"/>
    </row>
    <row r="1170">
      <c r="A1170" s="31"/>
      <c r="B1170" s="31"/>
      <c r="C1170" s="209"/>
      <c r="D1170" s="209"/>
      <c r="E1170" s="209"/>
      <c r="F1170" s="31"/>
      <c r="G1170" s="31"/>
      <c r="H1170" s="31"/>
      <c r="I1170" s="31"/>
      <c r="J1170" s="31"/>
      <c r="K1170" s="31"/>
      <c r="L1170" s="31"/>
      <c r="M1170" s="31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1"/>
      <c r="Z1170" s="31"/>
    </row>
    <row r="1171">
      <c r="A1171" s="31"/>
      <c r="B1171" s="31"/>
      <c r="C1171" s="209"/>
      <c r="D1171" s="209"/>
      <c r="E1171" s="209"/>
      <c r="F1171" s="31"/>
      <c r="G1171" s="31"/>
      <c r="H1171" s="31"/>
      <c r="I1171" s="31"/>
      <c r="J1171" s="31"/>
      <c r="K1171" s="31"/>
      <c r="L1171" s="31"/>
      <c r="M1171" s="31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1"/>
      <c r="Z1171" s="31"/>
    </row>
    <row r="1172">
      <c r="A1172" s="31"/>
      <c r="B1172" s="31"/>
      <c r="C1172" s="209"/>
      <c r="D1172" s="209"/>
      <c r="E1172" s="209"/>
      <c r="F1172" s="31"/>
      <c r="G1172" s="31"/>
      <c r="H1172" s="31"/>
      <c r="I1172" s="31"/>
      <c r="J1172" s="31"/>
      <c r="K1172" s="31"/>
      <c r="L1172" s="31"/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</row>
    <row r="1173">
      <c r="A1173" s="31"/>
      <c r="B1173" s="31"/>
      <c r="C1173" s="209"/>
      <c r="D1173" s="209"/>
      <c r="E1173" s="209"/>
      <c r="F1173" s="31"/>
      <c r="G1173" s="31"/>
      <c r="H1173" s="31"/>
      <c r="I1173" s="31"/>
      <c r="J1173" s="31"/>
      <c r="K1173" s="31"/>
      <c r="L1173" s="31"/>
      <c r="M1173" s="31"/>
      <c r="N1173" s="31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1"/>
      <c r="Z1173" s="31"/>
    </row>
    <row r="1174">
      <c r="A1174" s="31"/>
      <c r="B1174" s="31"/>
      <c r="C1174" s="209"/>
      <c r="D1174" s="209"/>
      <c r="E1174" s="209"/>
      <c r="F1174" s="31"/>
      <c r="G1174" s="31"/>
      <c r="H1174" s="31"/>
      <c r="I1174" s="31"/>
      <c r="J1174" s="31"/>
      <c r="K1174" s="31"/>
      <c r="L1174" s="31"/>
      <c r="M1174" s="31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1"/>
      <c r="Z1174" s="31"/>
    </row>
    <row r="1175">
      <c r="A1175" s="31"/>
      <c r="B1175" s="31"/>
      <c r="C1175" s="209"/>
      <c r="D1175" s="209"/>
      <c r="E1175" s="209"/>
      <c r="F1175" s="31"/>
      <c r="G1175" s="31"/>
      <c r="H1175" s="31"/>
      <c r="I1175" s="31"/>
      <c r="J1175" s="31"/>
      <c r="K1175" s="31"/>
      <c r="L1175" s="31"/>
      <c r="M1175" s="31"/>
      <c r="N1175" s="31"/>
      <c r="O1175" s="31"/>
      <c r="P1175" s="31"/>
      <c r="Q1175" s="31"/>
      <c r="R1175" s="31"/>
      <c r="S1175" s="31"/>
      <c r="T1175" s="31"/>
      <c r="U1175" s="31"/>
      <c r="V1175" s="31"/>
      <c r="W1175" s="31"/>
      <c r="X1175" s="31"/>
      <c r="Y1175" s="31"/>
      <c r="Z1175" s="31"/>
    </row>
    <row r="1176">
      <c r="A1176" s="31"/>
      <c r="B1176" s="31"/>
      <c r="C1176" s="209"/>
      <c r="D1176" s="209"/>
      <c r="E1176" s="209"/>
      <c r="F1176" s="31"/>
      <c r="G1176" s="31"/>
      <c r="H1176" s="31"/>
      <c r="I1176" s="31"/>
      <c r="J1176" s="31"/>
      <c r="K1176" s="31"/>
      <c r="L1176" s="31"/>
      <c r="M1176" s="31"/>
      <c r="N1176" s="31"/>
      <c r="O1176" s="31"/>
      <c r="P1176" s="31"/>
      <c r="Q1176" s="31"/>
      <c r="R1176" s="31"/>
      <c r="S1176" s="31"/>
      <c r="T1176" s="31"/>
      <c r="U1176" s="31"/>
      <c r="V1176" s="31"/>
      <c r="W1176" s="31"/>
      <c r="X1176" s="31"/>
      <c r="Y1176" s="31"/>
      <c r="Z1176" s="31"/>
    </row>
    <row r="1177">
      <c r="A1177" s="31"/>
      <c r="B1177" s="31"/>
      <c r="C1177" s="209"/>
      <c r="D1177" s="209"/>
      <c r="E1177" s="209"/>
      <c r="F1177" s="31"/>
      <c r="G1177" s="31"/>
      <c r="H1177" s="31"/>
      <c r="I1177" s="31"/>
      <c r="J1177" s="31"/>
      <c r="K1177" s="31"/>
      <c r="L1177" s="31"/>
      <c r="M1177" s="31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1"/>
      <c r="Z1177" s="31"/>
    </row>
    <row r="1178">
      <c r="A1178" s="31"/>
      <c r="B1178" s="31"/>
      <c r="C1178" s="209"/>
      <c r="D1178" s="209"/>
      <c r="E1178" s="209"/>
      <c r="F1178" s="31"/>
      <c r="G1178" s="31"/>
      <c r="H1178" s="31"/>
      <c r="I1178" s="31"/>
      <c r="J1178" s="31"/>
      <c r="K1178" s="31"/>
      <c r="L1178" s="31"/>
      <c r="M1178" s="31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1"/>
      <c r="Z1178" s="31"/>
    </row>
    <row r="1179">
      <c r="A1179" s="31"/>
      <c r="B1179" s="31"/>
      <c r="C1179" s="209"/>
      <c r="D1179" s="209"/>
      <c r="E1179" s="209"/>
      <c r="F1179" s="31"/>
      <c r="G1179" s="31"/>
      <c r="H1179" s="31"/>
      <c r="I1179" s="31"/>
      <c r="J1179" s="31"/>
      <c r="K1179" s="31"/>
      <c r="L1179" s="31"/>
      <c r="M1179" s="31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1"/>
      <c r="Z1179" s="31"/>
    </row>
    <row r="1180">
      <c r="A1180" s="31"/>
      <c r="B1180" s="31"/>
      <c r="C1180" s="209"/>
      <c r="D1180" s="209"/>
      <c r="E1180" s="209"/>
      <c r="F1180" s="31"/>
      <c r="G1180" s="31"/>
      <c r="H1180" s="31"/>
      <c r="I1180" s="31"/>
      <c r="J1180" s="31"/>
      <c r="K1180" s="31"/>
      <c r="L1180" s="31"/>
      <c r="M1180" s="31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</row>
    <row r="1181">
      <c r="A1181" s="31"/>
      <c r="B1181" s="31"/>
      <c r="C1181" s="209"/>
      <c r="D1181" s="209"/>
      <c r="E1181" s="209"/>
      <c r="F1181" s="31"/>
      <c r="G1181" s="31"/>
      <c r="H1181" s="31"/>
      <c r="I1181" s="31"/>
      <c r="J1181" s="31"/>
      <c r="K1181" s="31"/>
      <c r="L1181" s="31"/>
      <c r="M1181" s="31"/>
      <c r="N1181" s="31"/>
      <c r="O1181" s="31"/>
      <c r="P1181" s="31"/>
      <c r="Q1181" s="31"/>
      <c r="R1181" s="31"/>
      <c r="S1181" s="31"/>
      <c r="T1181" s="31"/>
      <c r="U1181" s="31"/>
      <c r="V1181" s="31"/>
      <c r="W1181" s="31"/>
      <c r="X1181" s="31"/>
      <c r="Y1181" s="31"/>
      <c r="Z1181" s="31"/>
    </row>
    <row r="1182">
      <c r="A1182" s="31"/>
      <c r="B1182" s="31"/>
      <c r="C1182" s="209"/>
      <c r="D1182" s="209"/>
      <c r="E1182" s="209"/>
      <c r="F1182" s="31"/>
      <c r="G1182" s="31"/>
      <c r="H1182" s="31"/>
      <c r="I1182" s="31"/>
      <c r="J1182" s="31"/>
      <c r="K1182" s="31"/>
      <c r="L1182" s="31"/>
      <c r="M1182" s="31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1"/>
      <c r="Z1182" s="31"/>
    </row>
    <row r="1183">
      <c r="A1183" s="31"/>
      <c r="B1183" s="31"/>
      <c r="C1183" s="209"/>
      <c r="D1183" s="209"/>
      <c r="E1183" s="209"/>
      <c r="F1183" s="31"/>
      <c r="G1183" s="31"/>
      <c r="H1183" s="31"/>
      <c r="I1183" s="31"/>
      <c r="J1183" s="31"/>
      <c r="K1183" s="31"/>
      <c r="L1183" s="31"/>
      <c r="M1183" s="31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1"/>
      <c r="Y1183" s="31"/>
      <c r="Z1183" s="31"/>
    </row>
    <row r="1184">
      <c r="A1184" s="31"/>
      <c r="B1184" s="31"/>
      <c r="C1184" s="209"/>
      <c r="D1184" s="209"/>
      <c r="E1184" s="209"/>
      <c r="F1184" s="31"/>
      <c r="G1184" s="31"/>
      <c r="H1184" s="31"/>
      <c r="I1184" s="31"/>
      <c r="J1184" s="31"/>
      <c r="K1184" s="31"/>
      <c r="L1184" s="31"/>
      <c r="M1184" s="31"/>
      <c r="N1184" s="31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1"/>
      <c r="Z1184" s="31"/>
    </row>
    <row r="1185">
      <c r="A1185" s="31"/>
      <c r="B1185" s="31"/>
      <c r="C1185" s="209"/>
      <c r="D1185" s="209"/>
      <c r="E1185" s="209"/>
      <c r="F1185" s="31"/>
      <c r="G1185" s="31"/>
      <c r="H1185" s="31"/>
      <c r="I1185" s="31"/>
      <c r="J1185" s="31"/>
      <c r="K1185" s="31"/>
      <c r="L1185" s="31"/>
      <c r="M1185" s="31"/>
      <c r="N1185" s="31"/>
      <c r="O1185" s="31"/>
      <c r="P1185" s="31"/>
      <c r="Q1185" s="31"/>
      <c r="R1185" s="31"/>
      <c r="S1185" s="31"/>
      <c r="T1185" s="31"/>
      <c r="U1185" s="31"/>
      <c r="V1185" s="31"/>
      <c r="W1185" s="31"/>
      <c r="X1185" s="31"/>
      <c r="Y1185" s="31"/>
      <c r="Z1185" s="31"/>
    </row>
    <row r="1186">
      <c r="A1186" s="31"/>
      <c r="B1186" s="31"/>
      <c r="C1186" s="209"/>
      <c r="D1186" s="209"/>
      <c r="E1186" s="209"/>
      <c r="F1186" s="31"/>
      <c r="G1186" s="31"/>
      <c r="H1186" s="31"/>
      <c r="I1186" s="31"/>
      <c r="J1186" s="31"/>
      <c r="K1186" s="31"/>
      <c r="L1186" s="31"/>
      <c r="M1186" s="31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1"/>
      <c r="Z1186" s="31"/>
    </row>
    <row r="1187">
      <c r="A1187" s="31"/>
      <c r="B1187" s="31"/>
      <c r="C1187" s="209"/>
      <c r="D1187" s="209"/>
      <c r="E1187" s="209"/>
      <c r="F1187" s="31"/>
      <c r="G1187" s="31"/>
      <c r="H1187" s="31"/>
      <c r="I1187" s="31"/>
      <c r="J1187" s="31"/>
      <c r="K1187" s="31"/>
      <c r="L1187" s="31"/>
      <c r="M1187" s="31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1"/>
      <c r="Z1187" s="31"/>
    </row>
    <row r="1188">
      <c r="A1188" s="31"/>
      <c r="B1188" s="31"/>
      <c r="C1188" s="209"/>
      <c r="D1188" s="209"/>
      <c r="E1188" s="209"/>
      <c r="F1188" s="31"/>
      <c r="G1188" s="31"/>
      <c r="H1188" s="31"/>
      <c r="I1188" s="31"/>
      <c r="J1188" s="31"/>
      <c r="K1188" s="31"/>
      <c r="L1188" s="31"/>
      <c r="M1188" s="31"/>
      <c r="N1188" s="31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1"/>
      <c r="Z1188" s="31"/>
    </row>
    <row r="1189">
      <c r="A1189" s="31"/>
      <c r="B1189" s="31"/>
      <c r="C1189" s="209"/>
      <c r="D1189" s="209"/>
      <c r="E1189" s="209"/>
      <c r="F1189" s="31"/>
      <c r="G1189" s="31"/>
      <c r="H1189" s="31"/>
      <c r="I1189" s="31"/>
      <c r="J1189" s="31"/>
      <c r="K1189" s="31"/>
      <c r="L1189" s="31"/>
      <c r="M1189" s="31"/>
      <c r="N1189" s="31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1"/>
      <c r="Z1189" s="31"/>
    </row>
    <row r="1190">
      <c r="A1190" s="31"/>
      <c r="B1190" s="31"/>
      <c r="C1190" s="209"/>
      <c r="D1190" s="209"/>
      <c r="E1190" s="209"/>
      <c r="F1190" s="31"/>
      <c r="G1190" s="31"/>
      <c r="H1190" s="31"/>
      <c r="I1190" s="31"/>
      <c r="J1190" s="31"/>
      <c r="K1190" s="31"/>
      <c r="L1190" s="31"/>
      <c r="M1190" s="31"/>
      <c r="N1190" s="31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1"/>
      <c r="Z1190" s="31"/>
    </row>
    <row r="1191">
      <c r="A1191" s="31"/>
      <c r="B1191" s="31"/>
      <c r="C1191" s="209"/>
      <c r="D1191" s="209"/>
      <c r="E1191" s="209"/>
      <c r="F1191" s="31"/>
      <c r="G1191" s="31"/>
      <c r="H1191" s="31"/>
      <c r="I1191" s="31"/>
      <c r="J1191" s="31"/>
      <c r="K1191" s="31"/>
      <c r="L1191" s="31"/>
      <c r="M1191" s="31"/>
      <c r="N1191" s="31"/>
      <c r="O1191" s="31"/>
      <c r="P1191" s="31"/>
      <c r="Q1191" s="31"/>
      <c r="R1191" s="31"/>
      <c r="S1191" s="31"/>
      <c r="T1191" s="31"/>
      <c r="U1191" s="31"/>
      <c r="V1191" s="31"/>
      <c r="W1191" s="31"/>
      <c r="X1191" s="31"/>
      <c r="Y1191" s="31"/>
      <c r="Z1191" s="31"/>
    </row>
    <row r="1192">
      <c r="A1192" s="31"/>
      <c r="B1192" s="31"/>
      <c r="C1192" s="209"/>
      <c r="D1192" s="209"/>
      <c r="E1192" s="209"/>
      <c r="F1192" s="31"/>
      <c r="G1192" s="31"/>
      <c r="H1192" s="31"/>
      <c r="I1192" s="31"/>
      <c r="J1192" s="31"/>
      <c r="K1192" s="31"/>
      <c r="L1192" s="31"/>
      <c r="M1192" s="31"/>
      <c r="N1192" s="31"/>
      <c r="O1192" s="31"/>
      <c r="P1192" s="31"/>
      <c r="Q1192" s="31"/>
      <c r="R1192" s="31"/>
      <c r="S1192" s="31"/>
      <c r="T1192" s="31"/>
      <c r="U1192" s="31"/>
      <c r="V1192" s="31"/>
      <c r="W1192" s="31"/>
      <c r="X1192" s="31"/>
      <c r="Y1192" s="31"/>
      <c r="Z1192" s="31"/>
    </row>
    <row r="1193">
      <c r="A1193" s="31"/>
      <c r="B1193" s="31"/>
      <c r="C1193" s="209"/>
      <c r="D1193" s="209"/>
      <c r="E1193" s="209"/>
      <c r="F1193" s="31"/>
      <c r="G1193" s="31"/>
      <c r="H1193" s="31"/>
      <c r="I1193" s="31"/>
      <c r="J1193" s="31"/>
      <c r="K1193" s="31"/>
      <c r="L1193" s="31"/>
      <c r="M1193" s="31"/>
      <c r="N1193" s="31"/>
      <c r="O1193" s="31"/>
      <c r="P1193" s="31"/>
      <c r="Q1193" s="31"/>
      <c r="R1193" s="31"/>
      <c r="S1193" s="31"/>
      <c r="T1193" s="31"/>
      <c r="U1193" s="31"/>
      <c r="V1193" s="31"/>
      <c r="W1193" s="31"/>
      <c r="X1193" s="31"/>
      <c r="Y1193" s="31"/>
      <c r="Z1193" s="31"/>
    </row>
    <row r="1194">
      <c r="A1194" s="31"/>
      <c r="B1194" s="31"/>
      <c r="C1194" s="209"/>
      <c r="D1194" s="209"/>
      <c r="E1194" s="209"/>
      <c r="F1194" s="31"/>
      <c r="G1194" s="31"/>
      <c r="H1194" s="31"/>
      <c r="I1194" s="31"/>
      <c r="J1194" s="31"/>
      <c r="K1194" s="31"/>
      <c r="L1194" s="31"/>
      <c r="M1194" s="31"/>
      <c r="N1194" s="31"/>
      <c r="O1194" s="31"/>
      <c r="P1194" s="31"/>
      <c r="Q1194" s="31"/>
      <c r="R1194" s="31"/>
      <c r="S1194" s="31"/>
      <c r="T1194" s="31"/>
      <c r="U1194" s="31"/>
      <c r="V1194" s="31"/>
      <c r="W1194" s="31"/>
      <c r="X1194" s="31"/>
      <c r="Y1194" s="31"/>
      <c r="Z1194" s="31"/>
    </row>
    <row r="1195">
      <c r="A1195" s="31"/>
      <c r="B1195" s="31"/>
      <c r="C1195" s="209"/>
      <c r="D1195" s="209"/>
      <c r="E1195" s="209"/>
      <c r="F1195" s="31"/>
      <c r="G1195" s="31"/>
      <c r="H1195" s="31"/>
      <c r="I1195" s="31"/>
      <c r="J1195" s="31"/>
      <c r="K1195" s="31"/>
      <c r="L1195" s="31"/>
      <c r="M1195" s="31"/>
      <c r="N1195" s="31"/>
      <c r="O1195" s="31"/>
      <c r="P1195" s="31"/>
      <c r="Q1195" s="31"/>
      <c r="R1195" s="31"/>
      <c r="S1195" s="31"/>
      <c r="T1195" s="31"/>
      <c r="U1195" s="31"/>
      <c r="V1195" s="31"/>
      <c r="W1195" s="31"/>
      <c r="X1195" s="31"/>
      <c r="Y1195" s="31"/>
      <c r="Z1195" s="31"/>
    </row>
    <row r="1196">
      <c r="A1196" s="31"/>
      <c r="B1196" s="31"/>
      <c r="C1196" s="209"/>
      <c r="D1196" s="209"/>
      <c r="E1196" s="209"/>
      <c r="F1196" s="31"/>
      <c r="G1196" s="31"/>
      <c r="H1196" s="31"/>
      <c r="I1196" s="31"/>
      <c r="J1196" s="31"/>
      <c r="K1196" s="31"/>
      <c r="L1196" s="31"/>
      <c r="M1196" s="31"/>
      <c r="N1196" s="31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1"/>
      <c r="Z1196" s="31"/>
    </row>
    <row r="1197">
      <c r="A1197" s="31"/>
      <c r="B1197" s="31"/>
      <c r="C1197" s="209"/>
      <c r="D1197" s="209"/>
      <c r="E1197" s="209"/>
      <c r="F1197" s="31"/>
      <c r="G1197" s="31"/>
      <c r="H1197" s="31"/>
      <c r="I1197" s="31"/>
      <c r="J1197" s="31"/>
      <c r="K1197" s="31"/>
      <c r="L1197" s="31"/>
      <c r="M1197" s="31"/>
      <c r="N1197" s="31"/>
      <c r="O1197" s="31"/>
      <c r="P1197" s="31"/>
      <c r="Q1197" s="31"/>
      <c r="R1197" s="31"/>
      <c r="S1197" s="31"/>
      <c r="T1197" s="31"/>
      <c r="U1197" s="31"/>
      <c r="V1197" s="31"/>
      <c r="W1197" s="31"/>
      <c r="X1197" s="31"/>
      <c r="Y1197" s="31"/>
      <c r="Z1197" s="31"/>
    </row>
    <row r="1198">
      <c r="A1198" s="31"/>
      <c r="B1198" s="31"/>
      <c r="C1198" s="209"/>
      <c r="D1198" s="209"/>
      <c r="E1198" s="209"/>
      <c r="F1198" s="31"/>
      <c r="G1198" s="31"/>
      <c r="H1198" s="31"/>
      <c r="I1198" s="31"/>
      <c r="J1198" s="31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</row>
    <row r="1199">
      <c r="A1199" s="31"/>
      <c r="B1199" s="31"/>
      <c r="C1199" s="209"/>
      <c r="D1199" s="209"/>
      <c r="E1199" s="209"/>
      <c r="F1199" s="31"/>
      <c r="G1199" s="31"/>
      <c r="H1199" s="31"/>
      <c r="I1199" s="31"/>
      <c r="J1199" s="31"/>
      <c r="K1199" s="31"/>
      <c r="L1199" s="31"/>
      <c r="M1199" s="31"/>
      <c r="N1199" s="31"/>
      <c r="O1199" s="31"/>
      <c r="P1199" s="31"/>
      <c r="Q1199" s="31"/>
      <c r="R1199" s="31"/>
      <c r="S1199" s="31"/>
      <c r="T1199" s="31"/>
      <c r="U1199" s="31"/>
      <c r="V1199" s="31"/>
      <c r="W1199" s="31"/>
      <c r="X1199" s="31"/>
      <c r="Y1199" s="31"/>
      <c r="Z1199" s="31"/>
    </row>
    <row r="1200">
      <c r="A1200" s="31"/>
      <c r="B1200" s="31"/>
      <c r="C1200" s="209"/>
      <c r="D1200" s="209"/>
      <c r="E1200" s="209"/>
      <c r="F1200" s="31"/>
      <c r="G1200" s="31"/>
      <c r="H1200" s="31"/>
      <c r="I1200" s="31"/>
      <c r="J1200" s="31"/>
      <c r="K1200" s="31"/>
      <c r="L1200" s="31"/>
      <c r="M1200" s="31"/>
      <c r="N1200" s="31"/>
      <c r="O1200" s="31"/>
      <c r="P1200" s="31"/>
      <c r="Q1200" s="31"/>
      <c r="R1200" s="31"/>
      <c r="S1200" s="31"/>
      <c r="T1200" s="31"/>
      <c r="U1200" s="31"/>
      <c r="V1200" s="31"/>
      <c r="W1200" s="31"/>
      <c r="X1200" s="31"/>
      <c r="Y1200" s="31"/>
      <c r="Z1200" s="31"/>
    </row>
    <row r="1201">
      <c r="A1201" s="31"/>
      <c r="B1201" s="31"/>
      <c r="C1201" s="209"/>
      <c r="D1201" s="209"/>
      <c r="E1201" s="209"/>
      <c r="F1201" s="31"/>
      <c r="G1201" s="31"/>
      <c r="H1201" s="31"/>
      <c r="I1201" s="31"/>
      <c r="J1201" s="31"/>
      <c r="K1201" s="31"/>
      <c r="L1201" s="31"/>
      <c r="M1201" s="31"/>
      <c r="N1201" s="31"/>
      <c r="O1201" s="31"/>
      <c r="P1201" s="31"/>
      <c r="Q1201" s="31"/>
      <c r="R1201" s="31"/>
      <c r="S1201" s="31"/>
      <c r="T1201" s="31"/>
      <c r="U1201" s="31"/>
      <c r="V1201" s="31"/>
      <c r="W1201" s="31"/>
      <c r="X1201" s="31"/>
      <c r="Y1201" s="31"/>
      <c r="Z1201" s="31"/>
    </row>
    <row r="1202">
      <c r="A1202" s="31"/>
      <c r="B1202" s="31"/>
      <c r="C1202" s="209"/>
      <c r="D1202" s="209"/>
      <c r="E1202" s="209"/>
      <c r="F1202" s="31"/>
      <c r="G1202" s="31"/>
      <c r="H1202" s="31"/>
      <c r="I1202" s="31"/>
      <c r="J1202" s="31"/>
      <c r="K1202" s="31"/>
      <c r="L1202" s="31"/>
      <c r="M1202" s="31"/>
      <c r="N1202" s="31"/>
      <c r="O1202" s="31"/>
      <c r="P1202" s="31"/>
      <c r="Q1202" s="31"/>
      <c r="R1202" s="31"/>
      <c r="S1202" s="31"/>
      <c r="T1202" s="31"/>
      <c r="U1202" s="31"/>
      <c r="V1202" s="31"/>
      <c r="W1202" s="31"/>
      <c r="X1202" s="31"/>
      <c r="Y1202" s="31"/>
      <c r="Z1202" s="31"/>
    </row>
    <row r="1203">
      <c r="A1203" s="31"/>
      <c r="B1203" s="31"/>
      <c r="C1203" s="209"/>
      <c r="D1203" s="209"/>
      <c r="E1203" s="209"/>
      <c r="F1203" s="31"/>
      <c r="G1203" s="31"/>
      <c r="H1203" s="31"/>
      <c r="I1203" s="31"/>
      <c r="J1203" s="31"/>
      <c r="K1203" s="31"/>
      <c r="L1203" s="31"/>
      <c r="M1203" s="31"/>
      <c r="N1203" s="31"/>
      <c r="O1203" s="31"/>
      <c r="P1203" s="31"/>
      <c r="Q1203" s="31"/>
      <c r="R1203" s="31"/>
      <c r="S1203" s="31"/>
      <c r="T1203" s="31"/>
      <c r="U1203" s="31"/>
      <c r="V1203" s="31"/>
      <c r="W1203" s="31"/>
      <c r="X1203" s="31"/>
      <c r="Y1203" s="31"/>
      <c r="Z1203" s="31"/>
    </row>
    <row r="1204">
      <c r="A1204" s="31"/>
      <c r="B1204" s="31"/>
      <c r="C1204" s="209"/>
      <c r="D1204" s="209"/>
      <c r="E1204" s="209"/>
      <c r="F1204" s="31"/>
      <c r="G1204" s="31"/>
      <c r="H1204" s="31"/>
      <c r="I1204" s="31"/>
      <c r="J1204" s="31"/>
      <c r="K1204" s="31"/>
      <c r="L1204" s="31"/>
      <c r="M1204" s="31"/>
      <c r="N1204" s="31"/>
      <c r="O1204" s="31"/>
      <c r="P1204" s="31"/>
      <c r="Q1204" s="31"/>
      <c r="R1204" s="31"/>
      <c r="S1204" s="31"/>
      <c r="T1204" s="31"/>
      <c r="U1204" s="31"/>
      <c r="V1204" s="31"/>
      <c r="W1204" s="31"/>
      <c r="X1204" s="31"/>
      <c r="Y1204" s="31"/>
      <c r="Z1204" s="31"/>
    </row>
    <row r="1205">
      <c r="A1205" s="31"/>
      <c r="B1205" s="31"/>
      <c r="C1205" s="209"/>
      <c r="D1205" s="209"/>
      <c r="E1205" s="209"/>
      <c r="F1205" s="31"/>
      <c r="G1205" s="31"/>
      <c r="H1205" s="31"/>
      <c r="I1205" s="31"/>
      <c r="J1205" s="31"/>
      <c r="K1205" s="31"/>
      <c r="L1205" s="31"/>
      <c r="M1205" s="31"/>
      <c r="N1205" s="31"/>
      <c r="O1205" s="31"/>
      <c r="P1205" s="31"/>
      <c r="Q1205" s="31"/>
      <c r="R1205" s="31"/>
      <c r="S1205" s="31"/>
      <c r="T1205" s="31"/>
      <c r="U1205" s="31"/>
      <c r="V1205" s="31"/>
      <c r="W1205" s="31"/>
      <c r="X1205" s="31"/>
      <c r="Y1205" s="31"/>
      <c r="Z1205" s="31"/>
    </row>
    <row r="1206">
      <c r="A1206" s="31"/>
      <c r="B1206" s="31"/>
      <c r="C1206" s="209"/>
      <c r="D1206" s="209"/>
      <c r="E1206" s="209"/>
      <c r="F1206" s="31"/>
      <c r="G1206" s="31"/>
      <c r="H1206" s="31"/>
      <c r="I1206" s="31"/>
      <c r="J1206" s="31"/>
      <c r="K1206" s="31"/>
      <c r="L1206" s="31"/>
      <c r="M1206" s="31"/>
      <c r="N1206" s="31"/>
      <c r="O1206" s="31"/>
      <c r="P1206" s="31"/>
      <c r="Q1206" s="31"/>
      <c r="R1206" s="31"/>
      <c r="S1206" s="31"/>
      <c r="T1206" s="31"/>
      <c r="U1206" s="31"/>
      <c r="V1206" s="31"/>
      <c r="W1206" s="31"/>
      <c r="X1206" s="31"/>
      <c r="Y1206" s="31"/>
      <c r="Z1206" s="31"/>
    </row>
    <row r="1207">
      <c r="A1207" s="31"/>
      <c r="B1207" s="31"/>
      <c r="C1207" s="209"/>
      <c r="D1207" s="209"/>
      <c r="E1207" s="209"/>
      <c r="F1207" s="31"/>
      <c r="G1207" s="31"/>
      <c r="H1207" s="31"/>
      <c r="I1207" s="31"/>
      <c r="J1207" s="31"/>
      <c r="K1207" s="31"/>
      <c r="L1207" s="31"/>
      <c r="M1207" s="31"/>
      <c r="N1207" s="31"/>
      <c r="O1207" s="31"/>
      <c r="P1207" s="31"/>
      <c r="Q1207" s="31"/>
      <c r="R1207" s="31"/>
      <c r="S1207" s="31"/>
      <c r="T1207" s="31"/>
      <c r="U1207" s="31"/>
      <c r="V1207" s="31"/>
      <c r="W1207" s="31"/>
      <c r="X1207" s="31"/>
      <c r="Y1207" s="31"/>
      <c r="Z1207" s="31"/>
    </row>
    <row r="1208">
      <c r="A1208" s="31"/>
      <c r="B1208" s="31"/>
      <c r="C1208" s="209"/>
      <c r="D1208" s="209"/>
      <c r="E1208" s="209"/>
      <c r="F1208" s="31"/>
      <c r="G1208" s="31"/>
      <c r="H1208" s="31"/>
      <c r="I1208" s="31"/>
      <c r="J1208" s="31"/>
      <c r="K1208" s="31"/>
      <c r="L1208" s="31"/>
      <c r="M1208" s="31"/>
      <c r="N1208" s="31"/>
      <c r="O1208" s="31"/>
      <c r="P1208" s="31"/>
      <c r="Q1208" s="31"/>
      <c r="R1208" s="31"/>
      <c r="S1208" s="31"/>
      <c r="T1208" s="31"/>
      <c r="U1208" s="31"/>
      <c r="V1208" s="31"/>
      <c r="W1208" s="31"/>
      <c r="X1208" s="31"/>
      <c r="Y1208" s="31"/>
      <c r="Z1208" s="31"/>
    </row>
    <row r="1209">
      <c r="A1209" s="31"/>
      <c r="B1209" s="31"/>
      <c r="C1209" s="209"/>
      <c r="D1209" s="209"/>
      <c r="E1209" s="209"/>
      <c r="F1209" s="31"/>
      <c r="G1209" s="31"/>
      <c r="H1209" s="31"/>
      <c r="I1209" s="31"/>
      <c r="J1209" s="31"/>
      <c r="K1209" s="31"/>
      <c r="L1209" s="31"/>
      <c r="M1209" s="31"/>
      <c r="N1209" s="31"/>
      <c r="O1209" s="31"/>
      <c r="P1209" s="31"/>
      <c r="Q1209" s="31"/>
      <c r="R1209" s="31"/>
      <c r="S1209" s="31"/>
      <c r="T1209" s="31"/>
      <c r="U1209" s="31"/>
      <c r="V1209" s="31"/>
      <c r="W1209" s="31"/>
      <c r="X1209" s="31"/>
      <c r="Y1209" s="31"/>
      <c r="Z1209" s="31"/>
    </row>
  </sheetData>
  <dataValidations>
    <dataValidation type="custom" allowBlank="1" showDropDown="1" sqref="C2:F387 I2:I387">
      <formula1>AND(ISNUMBER(C2),(NOT(OR(NOT(ISERROR(DATEVALUE(C2))), AND(ISNUMBER(C2), LEFT(CELL("format", C2))="D")))))</formula1>
    </dataValidation>
    <dataValidation type="list" allowBlank="1" sqref="G2:G387">
      <formula1>"ACC,PENDING,CANCEL"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0"/>
    <col customWidth="1" min="3" max="3" width="17.13"/>
    <col customWidth="1" min="4" max="5" width="18.13"/>
    <col customWidth="1" min="6" max="6" width="20.63"/>
    <col customWidth="1" min="7" max="7" width="17.25"/>
    <col customWidth="1" min="8" max="8" width="13.63"/>
    <col customWidth="1" min="9" max="9" width="20.0"/>
    <col customWidth="1" min="10" max="10" width="40.88"/>
  </cols>
  <sheetData>
    <row r="1" ht="22.5" customHeight="1">
      <c r="A1" s="2" t="s">
        <v>1</v>
      </c>
      <c r="B1" s="2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2" t="s">
        <v>7</v>
      </c>
      <c r="H1" s="2" t="s">
        <v>8</v>
      </c>
      <c r="I1" s="6" t="s">
        <v>9</v>
      </c>
      <c r="J1" s="8" t="s">
        <v>10</v>
      </c>
    </row>
    <row r="2" ht="22.5" customHeight="1">
      <c r="A2" s="11" t="s">
        <v>11</v>
      </c>
      <c r="B2" s="13">
        <v>46204.0</v>
      </c>
      <c r="C2" s="15">
        <v>2.8E7</v>
      </c>
      <c r="D2" s="15">
        <v>2.0E7</v>
      </c>
      <c r="E2" s="15">
        <v>2.75E7</v>
      </c>
      <c r="F2" s="19">
        <f>C2-E2</f>
        <v>500000</v>
      </c>
      <c r="G2" s="21" t="s">
        <v>15</v>
      </c>
      <c r="H2" s="11" t="s">
        <v>16</v>
      </c>
      <c r="I2" s="26">
        <f t="shared" ref="I2:I88" si="1">F2/C2*100%</f>
        <v>0.01785714286</v>
      </c>
      <c r="J2" s="28"/>
    </row>
    <row r="3" ht="22.5" customHeight="1">
      <c r="A3" s="11" t="s">
        <v>22</v>
      </c>
      <c r="B3" s="13">
        <v>46204.0</v>
      </c>
      <c r="C3" s="15">
        <v>3.0E7</v>
      </c>
      <c r="D3" s="15">
        <v>2.4E7</v>
      </c>
      <c r="E3" s="15">
        <v>0.0</v>
      </c>
      <c r="F3" s="19">
        <v>0.0</v>
      </c>
      <c r="G3" s="21" t="s">
        <v>24</v>
      </c>
      <c r="H3" s="11" t="s">
        <v>16</v>
      </c>
      <c r="I3" s="26">
        <f t="shared" si="1"/>
        <v>0</v>
      </c>
      <c r="J3" s="28"/>
    </row>
    <row r="4" ht="22.5" customHeight="1">
      <c r="A4" s="11" t="s">
        <v>26</v>
      </c>
      <c r="B4" s="13">
        <v>46235.0</v>
      </c>
      <c r="C4" s="15">
        <v>1.5E7</v>
      </c>
      <c r="D4" s="15">
        <v>1.0E7</v>
      </c>
      <c r="E4" s="15">
        <v>1.2E7</v>
      </c>
      <c r="F4" s="19">
        <f t="shared" ref="F4:F8" si="2">C4-E4</f>
        <v>3000000</v>
      </c>
      <c r="G4" s="21" t="s">
        <v>15</v>
      </c>
      <c r="H4" s="11" t="s">
        <v>16</v>
      </c>
      <c r="I4" s="26">
        <f t="shared" si="1"/>
        <v>0.2</v>
      </c>
      <c r="J4" s="28"/>
    </row>
    <row r="5" ht="22.5" customHeight="1">
      <c r="A5" s="11" t="s">
        <v>29</v>
      </c>
      <c r="B5" s="13">
        <v>46235.0</v>
      </c>
      <c r="C5" s="15">
        <v>2.7E7</v>
      </c>
      <c r="D5" s="15">
        <v>2.2E7</v>
      </c>
      <c r="E5" s="15">
        <v>2.5E7</v>
      </c>
      <c r="F5" s="19">
        <f t="shared" si="2"/>
        <v>2000000</v>
      </c>
      <c r="G5" s="21" t="s">
        <v>15</v>
      </c>
      <c r="H5" s="11" t="s">
        <v>16</v>
      </c>
      <c r="I5" s="26">
        <f t="shared" si="1"/>
        <v>0.07407407407</v>
      </c>
      <c r="J5" s="28"/>
    </row>
    <row r="6" ht="22.5" customHeight="1">
      <c r="A6" s="11" t="s">
        <v>32</v>
      </c>
      <c r="B6" s="13">
        <v>46235.0</v>
      </c>
      <c r="C6" s="15">
        <v>1.5E7</v>
      </c>
      <c r="D6" s="15">
        <v>1.0E7</v>
      </c>
      <c r="E6" s="15">
        <v>1.2E7</v>
      </c>
      <c r="F6" s="19">
        <f t="shared" si="2"/>
        <v>3000000</v>
      </c>
      <c r="G6" s="21" t="s">
        <v>15</v>
      </c>
      <c r="H6" s="11" t="s">
        <v>16</v>
      </c>
      <c r="I6" s="26">
        <f t="shared" si="1"/>
        <v>0.2</v>
      </c>
      <c r="J6" s="28"/>
    </row>
    <row r="7" ht="22.5" customHeight="1">
      <c r="A7" s="11" t="s">
        <v>34</v>
      </c>
      <c r="B7" s="13">
        <v>46235.0</v>
      </c>
      <c r="C7" s="15">
        <v>2.5E7</v>
      </c>
      <c r="D7" s="15">
        <v>1.75E7</v>
      </c>
      <c r="E7" s="15">
        <v>2.3E7</v>
      </c>
      <c r="F7" s="19">
        <f t="shared" si="2"/>
        <v>2000000</v>
      </c>
      <c r="G7" s="21" t="s">
        <v>15</v>
      </c>
      <c r="H7" s="11" t="s">
        <v>16</v>
      </c>
      <c r="I7" s="26">
        <f t="shared" si="1"/>
        <v>0.08</v>
      </c>
      <c r="J7" s="28"/>
    </row>
    <row r="8" ht="22.5" customHeight="1">
      <c r="A8" s="11" t="s">
        <v>35</v>
      </c>
      <c r="B8" s="11" t="s">
        <v>36</v>
      </c>
      <c r="C8" s="15">
        <v>2.5E7</v>
      </c>
      <c r="D8" s="15">
        <v>2.0E7</v>
      </c>
      <c r="E8" s="15">
        <v>2.3E7</v>
      </c>
      <c r="F8" s="19">
        <f t="shared" si="2"/>
        <v>2000000</v>
      </c>
      <c r="G8" s="21" t="s">
        <v>15</v>
      </c>
      <c r="H8" s="11" t="s">
        <v>16</v>
      </c>
      <c r="I8" s="26">
        <f t="shared" si="1"/>
        <v>0.08</v>
      </c>
      <c r="J8" s="28"/>
    </row>
    <row r="9" ht="22.5" customHeight="1">
      <c r="A9" s="11" t="s">
        <v>39</v>
      </c>
      <c r="B9" s="11" t="s">
        <v>36</v>
      </c>
      <c r="C9" s="15">
        <v>1.1E8</v>
      </c>
      <c r="D9" s="15">
        <v>8.0E7</v>
      </c>
      <c r="E9" s="15">
        <v>9.0E7</v>
      </c>
      <c r="F9" s="19">
        <v>0.0</v>
      </c>
      <c r="G9" s="21" t="s">
        <v>24</v>
      </c>
      <c r="H9" s="11" t="s">
        <v>16</v>
      </c>
      <c r="I9" s="26">
        <f t="shared" si="1"/>
        <v>0</v>
      </c>
      <c r="J9" s="28"/>
    </row>
    <row r="10" ht="22.5" customHeight="1">
      <c r="A10" s="11" t="s">
        <v>41</v>
      </c>
      <c r="B10" s="11" t="s">
        <v>36</v>
      </c>
      <c r="C10" s="15">
        <v>2.0E7</v>
      </c>
      <c r="D10" s="15">
        <v>1.5E7</v>
      </c>
      <c r="E10" s="15">
        <v>1.5E7</v>
      </c>
      <c r="F10" s="19">
        <f t="shared" ref="F10:F13" si="3">C10-E10</f>
        <v>5000000</v>
      </c>
      <c r="G10" s="21" t="s">
        <v>15</v>
      </c>
      <c r="H10" s="11" t="s">
        <v>16</v>
      </c>
      <c r="I10" s="26">
        <f t="shared" si="1"/>
        <v>0.25</v>
      </c>
      <c r="J10" s="28"/>
    </row>
    <row r="11" ht="22.5" customHeight="1">
      <c r="A11" s="11" t="s">
        <v>44</v>
      </c>
      <c r="B11" s="11" t="s">
        <v>36</v>
      </c>
      <c r="C11" s="15">
        <v>3.5E7</v>
      </c>
      <c r="D11" s="15">
        <v>2.5E7</v>
      </c>
      <c r="E11" s="15">
        <v>3.0E7</v>
      </c>
      <c r="F11" s="19">
        <f t="shared" si="3"/>
        <v>5000000</v>
      </c>
      <c r="G11" s="21" t="s">
        <v>15</v>
      </c>
      <c r="H11" s="11" t="s">
        <v>16</v>
      </c>
      <c r="I11" s="26">
        <f t="shared" si="1"/>
        <v>0.1428571429</v>
      </c>
      <c r="J11" s="28"/>
    </row>
    <row r="12" ht="22.5" customHeight="1">
      <c r="A12" s="11" t="s">
        <v>48</v>
      </c>
      <c r="B12" s="11" t="s">
        <v>36</v>
      </c>
      <c r="C12" s="15">
        <v>1.4E7</v>
      </c>
      <c r="D12" s="15">
        <v>1.0E7</v>
      </c>
      <c r="E12" s="15">
        <v>1.0E7</v>
      </c>
      <c r="F12" s="19">
        <f t="shared" si="3"/>
        <v>4000000</v>
      </c>
      <c r="G12" s="21" t="s">
        <v>15</v>
      </c>
      <c r="H12" s="11" t="s">
        <v>16</v>
      </c>
      <c r="I12" s="26">
        <f t="shared" si="1"/>
        <v>0.2857142857</v>
      </c>
      <c r="J12" s="28"/>
    </row>
    <row r="13" ht="22.5" customHeight="1">
      <c r="A13" s="11" t="s">
        <v>52</v>
      </c>
      <c r="B13" s="11" t="s">
        <v>36</v>
      </c>
      <c r="C13" s="15">
        <v>1.5E7</v>
      </c>
      <c r="D13" s="15">
        <v>1.0E7</v>
      </c>
      <c r="E13" s="15">
        <v>1.1E7</v>
      </c>
      <c r="F13" s="19">
        <f t="shared" si="3"/>
        <v>4000000</v>
      </c>
      <c r="G13" s="21" t="s">
        <v>15</v>
      </c>
      <c r="H13" s="11" t="s">
        <v>16</v>
      </c>
      <c r="I13" s="26">
        <f t="shared" si="1"/>
        <v>0.2666666667</v>
      </c>
      <c r="J13" s="28"/>
    </row>
    <row r="14" ht="22.5" customHeight="1">
      <c r="A14" s="11" t="s">
        <v>54</v>
      </c>
      <c r="B14" s="11" t="s">
        <v>36</v>
      </c>
      <c r="C14" s="15">
        <v>2.2E7</v>
      </c>
      <c r="D14" s="15">
        <v>1.7E7</v>
      </c>
      <c r="E14" s="15">
        <v>1.8E7</v>
      </c>
      <c r="F14" s="19">
        <v>0.0</v>
      </c>
      <c r="G14" s="21" t="s">
        <v>24</v>
      </c>
      <c r="H14" s="11" t="s">
        <v>16</v>
      </c>
      <c r="I14" s="26">
        <f t="shared" si="1"/>
        <v>0</v>
      </c>
      <c r="J14" s="28"/>
    </row>
    <row r="15" ht="22.5" customHeight="1">
      <c r="A15" s="11" t="s">
        <v>57</v>
      </c>
      <c r="B15" s="11" t="s">
        <v>58</v>
      </c>
      <c r="C15" s="15">
        <v>5.25E7</v>
      </c>
      <c r="D15" s="15">
        <v>4.0E7</v>
      </c>
      <c r="E15" s="15">
        <v>4.6E7</v>
      </c>
      <c r="F15" s="19">
        <f t="shared" ref="F15:F21" si="4">C15-E15</f>
        <v>6500000</v>
      </c>
      <c r="G15" s="21" t="s">
        <v>15</v>
      </c>
      <c r="H15" s="11" t="s">
        <v>16</v>
      </c>
      <c r="I15" s="26">
        <f t="shared" si="1"/>
        <v>0.1238095238</v>
      </c>
      <c r="J15" s="28"/>
    </row>
    <row r="16" ht="22.5" customHeight="1">
      <c r="A16" s="11" t="s">
        <v>62</v>
      </c>
      <c r="B16" s="11" t="s">
        <v>58</v>
      </c>
      <c r="C16" s="15">
        <v>3.0E7</v>
      </c>
      <c r="D16" s="15">
        <v>2.4E7</v>
      </c>
      <c r="E16" s="15">
        <v>2.5E7</v>
      </c>
      <c r="F16" s="19">
        <f t="shared" si="4"/>
        <v>5000000</v>
      </c>
      <c r="G16" s="21" t="s">
        <v>15</v>
      </c>
      <c r="H16" s="11" t="s">
        <v>16</v>
      </c>
      <c r="I16" s="26">
        <f t="shared" si="1"/>
        <v>0.1666666667</v>
      </c>
      <c r="J16" s="28"/>
    </row>
    <row r="17" ht="22.5" customHeight="1">
      <c r="A17" s="11" t="s">
        <v>65</v>
      </c>
      <c r="B17" s="11" t="s">
        <v>58</v>
      </c>
      <c r="C17" s="15">
        <v>1.5E7</v>
      </c>
      <c r="D17" s="15">
        <v>1.0E7</v>
      </c>
      <c r="E17" s="15">
        <v>1.1E7</v>
      </c>
      <c r="F17" s="19">
        <f t="shared" si="4"/>
        <v>4000000</v>
      </c>
      <c r="G17" s="21" t="s">
        <v>15</v>
      </c>
      <c r="H17" s="11" t="s">
        <v>16</v>
      </c>
      <c r="I17" s="26">
        <f t="shared" si="1"/>
        <v>0.2666666667</v>
      </c>
      <c r="J17" s="28"/>
    </row>
    <row r="18" ht="22.5" customHeight="1">
      <c r="A18" s="11" t="s">
        <v>68</v>
      </c>
      <c r="B18" s="11" t="s">
        <v>58</v>
      </c>
      <c r="C18" s="15">
        <v>4.0E7</v>
      </c>
      <c r="D18" s="15">
        <v>3.2E7</v>
      </c>
      <c r="E18" s="15">
        <v>3.2E7</v>
      </c>
      <c r="F18" s="19">
        <f t="shared" si="4"/>
        <v>8000000</v>
      </c>
      <c r="G18" s="21" t="s">
        <v>15</v>
      </c>
      <c r="H18" s="11" t="s">
        <v>16</v>
      </c>
      <c r="I18" s="26">
        <f t="shared" si="1"/>
        <v>0.2</v>
      </c>
      <c r="J18" s="28"/>
    </row>
    <row r="19" ht="22.5" customHeight="1">
      <c r="A19" s="11" t="s">
        <v>71</v>
      </c>
      <c r="B19" s="11" t="s">
        <v>58</v>
      </c>
      <c r="C19" s="15">
        <v>1.7E7</v>
      </c>
      <c r="D19" s="15">
        <v>1.2E7</v>
      </c>
      <c r="E19" s="15">
        <v>1.4E7</v>
      </c>
      <c r="F19" s="19">
        <f t="shared" si="4"/>
        <v>3000000</v>
      </c>
      <c r="G19" s="21" t="s">
        <v>15</v>
      </c>
      <c r="H19" s="11" t="s">
        <v>16</v>
      </c>
      <c r="I19" s="26">
        <f t="shared" si="1"/>
        <v>0.1764705882</v>
      </c>
      <c r="J19" s="28"/>
    </row>
    <row r="20" ht="22.5" customHeight="1">
      <c r="A20" s="11" t="s">
        <v>75</v>
      </c>
      <c r="B20" s="11" t="s">
        <v>58</v>
      </c>
      <c r="C20" s="15">
        <v>3.6E7</v>
      </c>
      <c r="D20" s="15">
        <v>2.7E7</v>
      </c>
      <c r="E20" s="15">
        <v>3.5E7</v>
      </c>
      <c r="F20" s="19">
        <f t="shared" si="4"/>
        <v>1000000</v>
      </c>
      <c r="G20" s="21" t="s">
        <v>15</v>
      </c>
      <c r="H20" s="11" t="s">
        <v>16</v>
      </c>
      <c r="I20" s="26">
        <f t="shared" si="1"/>
        <v>0.02777777778</v>
      </c>
      <c r="J20" s="28"/>
    </row>
    <row r="21" ht="22.5" customHeight="1">
      <c r="A21" s="11" t="s">
        <v>80</v>
      </c>
      <c r="B21" s="11" t="s">
        <v>58</v>
      </c>
      <c r="C21" s="15">
        <v>4.0E7</v>
      </c>
      <c r="D21" s="15">
        <v>3.0E7</v>
      </c>
      <c r="E21" s="15">
        <v>3.75E7</v>
      </c>
      <c r="F21" s="19">
        <f t="shared" si="4"/>
        <v>2500000</v>
      </c>
      <c r="G21" s="21" t="s">
        <v>15</v>
      </c>
      <c r="H21" s="11" t="s">
        <v>16</v>
      </c>
      <c r="I21" s="26">
        <f t="shared" si="1"/>
        <v>0.0625</v>
      </c>
      <c r="J21" s="28"/>
    </row>
    <row r="22" ht="22.5" customHeight="1">
      <c r="A22" s="11" t="s">
        <v>84</v>
      </c>
      <c r="B22" s="11" t="s">
        <v>58</v>
      </c>
      <c r="C22" s="15">
        <v>1.2E8</v>
      </c>
      <c r="D22" s="15">
        <v>6.5E7</v>
      </c>
      <c r="E22" s="15">
        <v>1.0E8</v>
      </c>
      <c r="F22" s="19">
        <v>0.0</v>
      </c>
      <c r="G22" s="21" t="s">
        <v>24</v>
      </c>
      <c r="H22" s="11" t="s">
        <v>16</v>
      </c>
      <c r="I22" s="26">
        <f t="shared" si="1"/>
        <v>0</v>
      </c>
      <c r="J22" s="28"/>
    </row>
    <row r="23" ht="22.5" customHeight="1">
      <c r="A23" s="11" t="s">
        <v>89</v>
      </c>
      <c r="B23" s="11" t="s">
        <v>58</v>
      </c>
      <c r="C23" s="15">
        <v>2.0E7</v>
      </c>
      <c r="D23" s="15">
        <v>1.4E7</v>
      </c>
      <c r="E23" s="15">
        <v>1.5E7</v>
      </c>
      <c r="F23" s="19">
        <f t="shared" ref="F23:F24" si="5">C23-E23</f>
        <v>5000000</v>
      </c>
      <c r="G23" s="21" t="s">
        <v>15</v>
      </c>
      <c r="H23" s="11" t="s">
        <v>16</v>
      </c>
      <c r="I23" s="26">
        <f t="shared" si="1"/>
        <v>0.25</v>
      </c>
      <c r="J23" s="28"/>
    </row>
    <row r="24" ht="22.5" customHeight="1">
      <c r="A24" s="11" t="s">
        <v>95</v>
      </c>
      <c r="B24" s="11" t="s">
        <v>96</v>
      </c>
      <c r="C24" s="15">
        <v>3.0E7</v>
      </c>
      <c r="D24" s="15">
        <v>2.2E7</v>
      </c>
      <c r="E24" s="15">
        <v>2.5E7</v>
      </c>
      <c r="F24" s="19">
        <f t="shared" si="5"/>
        <v>5000000</v>
      </c>
      <c r="G24" s="21" t="s">
        <v>15</v>
      </c>
      <c r="H24" s="11" t="s">
        <v>16</v>
      </c>
      <c r="I24" s="26">
        <f t="shared" si="1"/>
        <v>0.1666666667</v>
      </c>
      <c r="J24" s="28"/>
    </row>
    <row r="25" ht="22.5" customHeight="1">
      <c r="A25" s="11" t="s">
        <v>100</v>
      </c>
      <c r="B25" s="11" t="s">
        <v>101</v>
      </c>
      <c r="C25" s="15">
        <v>8.5E7</v>
      </c>
      <c r="D25" s="15">
        <v>6.0E7</v>
      </c>
      <c r="E25" s="15">
        <v>7.0E7</v>
      </c>
      <c r="F25" s="19">
        <v>0.0</v>
      </c>
      <c r="G25" s="21" t="s">
        <v>24</v>
      </c>
      <c r="H25" s="11" t="s">
        <v>16</v>
      </c>
      <c r="I25" s="26">
        <f t="shared" si="1"/>
        <v>0</v>
      </c>
      <c r="J25" s="28"/>
    </row>
    <row r="26" ht="22.5" customHeight="1">
      <c r="A26" s="11" t="s">
        <v>106</v>
      </c>
      <c r="B26" s="11" t="s">
        <v>101</v>
      </c>
      <c r="C26" s="15">
        <v>9.0E7</v>
      </c>
      <c r="D26" s="15">
        <v>6.0E7</v>
      </c>
      <c r="E26" s="15">
        <v>7.5E7</v>
      </c>
      <c r="F26" s="19">
        <f t="shared" ref="F26:F36" si="6">C26-E26</f>
        <v>15000000</v>
      </c>
      <c r="G26" s="21" t="s">
        <v>15</v>
      </c>
      <c r="H26" s="11" t="s">
        <v>16</v>
      </c>
      <c r="I26" s="26">
        <f t="shared" si="1"/>
        <v>0.1666666667</v>
      </c>
      <c r="J26" s="28"/>
    </row>
    <row r="27" ht="22.5" customHeight="1">
      <c r="A27" s="11" t="s">
        <v>108</v>
      </c>
      <c r="B27" s="11" t="s">
        <v>101</v>
      </c>
      <c r="C27" s="15">
        <v>5.0E7</v>
      </c>
      <c r="D27" s="15">
        <v>4.0E7</v>
      </c>
      <c r="E27" s="15">
        <v>4.7E7</v>
      </c>
      <c r="F27" s="19">
        <f t="shared" si="6"/>
        <v>3000000</v>
      </c>
      <c r="G27" s="21" t="s">
        <v>15</v>
      </c>
      <c r="H27" s="11" t="s">
        <v>16</v>
      </c>
      <c r="I27" s="26">
        <f t="shared" si="1"/>
        <v>0.06</v>
      </c>
      <c r="J27" s="28"/>
    </row>
    <row r="28" ht="22.5" customHeight="1">
      <c r="A28" s="11" t="s">
        <v>112</v>
      </c>
      <c r="B28" s="11" t="s">
        <v>101</v>
      </c>
      <c r="C28" s="15">
        <v>3.0E7</v>
      </c>
      <c r="D28" s="15">
        <v>2.2E7</v>
      </c>
      <c r="E28" s="15">
        <v>2.9E7</v>
      </c>
      <c r="F28" s="19">
        <f t="shared" si="6"/>
        <v>1000000</v>
      </c>
      <c r="G28" s="21" t="s">
        <v>15</v>
      </c>
      <c r="H28" s="11" t="s">
        <v>16</v>
      </c>
      <c r="I28" s="26">
        <f t="shared" si="1"/>
        <v>0.03333333333</v>
      </c>
      <c r="J28" s="28"/>
    </row>
    <row r="29" ht="22.5" customHeight="1">
      <c r="A29" s="11" t="s">
        <v>116</v>
      </c>
      <c r="B29" s="13">
        <v>46083.0</v>
      </c>
      <c r="C29" s="15">
        <v>1.2E7</v>
      </c>
      <c r="D29" s="15">
        <v>8000000.0</v>
      </c>
      <c r="E29" s="15">
        <v>8000000.0</v>
      </c>
      <c r="F29" s="19">
        <f t="shared" si="6"/>
        <v>4000000</v>
      </c>
      <c r="G29" s="21" t="s">
        <v>15</v>
      </c>
      <c r="H29" s="11" t="s">
        <v>16</v>
      </c>
      <c r="I29" s="26">
        <f t="shared" si="1"/>
        <v>0.3333333333</v>
      </c>
      <c r="J29" s="28"/>
    </row>
    <row r="30" ht="22.5" customHeight="1">
      <c r="A30" s="11" t="s">
        <v>119</v>
      </c>
      <c r="B30" s="13">
        <v>46083.0</v>
      </c>
      <c r="C30" s="15">
        <v>1.5E7</v>
      </c>
      <c r="D30" s="15">
        <v>1.0E7</v>
      </c>
      <c r="E30" s="15">
        <v>1.2E7</v>
      </c>
      <c r="F30" s="19">
        <f t="shared" si="6"/>
        <v>3000000</v>
      </c>
      <c r="G30" s="21" t="s">
        <v>15</v>
      </c>
      <c r="H30" s="11" t="s">
        <v>16</v>
      </c>
      <c r="I30" s="26">
        <f t="shared" si="1"/>
        <v>0.2</v>
      </c>
      <c r="J30" s="28"/>
    </row>
    <row r="31" ht="22.5" customHeight="1">
      <c r="A31" s="11" t="s">
        <v>122</v>
      </c>
      <c r="B31" s="13">
        <v>46175.0</v>
      </c>
      <c r="C31" s="15">
        <v>3.5E7</v>
      </c>
      <c r="D31" s="15">
        <v>2.75E7</v>
      </c>
      <c r="E31" s="15">
        <v>3.1666666E7</v>
      </c>
      <c r="F31" s="19">
        <f t="shared" si="6"/>
        <v>3333334</v>
      </c>
      <c r="G31" s="21" t="s">
        <v>15</v>
      </c>
      <c r="H31" s="11" t="s">
        <v>16</v>
      </c>
      <c r="I31" s="26">
        <f t="shared" si="1"/>
        <v>0.09523811429</v>
      </c>
      <c r="J31" s="28"/>
    </row>
    <row r="32" ht="22.5" customHeight="1">
      <c r="A32" s="11" t="s">
        <v>127</v>
      </c>
      <c r="B32" s="13">
        <v>46175.0</v>
      </c>
      <c r="C32" s="15">
        <v>2.5E7</v>
      </c>
      <c r="D32" s="15">
        <v>2.0E7</v>
      </c>
      <c r="E32" s="15">
        <v>2.0E7</v>
      </c>
      <c r="F32" s="19">
        <f t="shared" si="6"/>
        <v>5000000</v>
      </c>
      <c r="G32" s="21" t="s">
        <v>15</v>
      </c>
      <c r="H32" s="11" t="s">
        <v>16</v>
      </c>
      <c r="I32" s="26">
        <f t="shared" si="1"/>
        <v>0.2</v>
      </c>
      <c r="J32" s="28"/>
    </row>
    <row r="33" ht="22.5" customHeight="1">
      <c r="A33" s="11" t="s">
        <v>129</v>
      </c>
      <c r="B33" s="13">
        <v>46175.0</v>
      </c>
      <c r="C33" s="15">
        <v>4.5E7</v>
      </c>
      <c r="D33" s="15">
        <v>3.5E7</v>
      </c>
      <c r="E33" s="15">
        <v>3.25E7</v>
      </c>
      <c r="F33" s="19">
        <f t="shared" si="6"/>
        <v>12500000</v>
      </c>
      <c r="G33" s="21" t="s">
        <v>15</v>
      </c>
      <c r="H33" s="11" t="s">
        <v>16</v>
      </c>
      <c r="I33" s="26">
        <f t="shared" si="1"/>
        <v>0.2777777778</v>
      </c>
      <c r="J33" s="28"/>
    </row>
    <row r="34" ht="22.5" customHeight="1">
      <c r="A34" s="11" t="s">
        <v>132</v>
      </c>
      <c r="B34" s="13">
        <v>46175.0</v>
      </c>
      <c r="C34" s="15">
        <v>1.7E7</v>
      </c>
      <c r="D34" s="15">
        <v>1.2E7</v>
      </c>
      <c r="E34" s="15">
        <v>1.7E7</v>
      </c>
      <c r="F34" s="19">
        <f t="shared" si="6"/>
        <v>0</v>
      </c>
      <c r="G34" s="21" t="s">
        <v>15</v>
      </c>
      <c r="H34" s="11" t="s">
        <v>16</v>
      </c>
      <c r="I34" s="26">
        <f t="shared" si="1"/>
        <v>0</v>
      </c>
      <c r="J34" s="28"/>
    </row>
    <row r="35" ht="22.5" customHeight="1">
      <c r="A35" s="11" t="s">
        <v>137</v>
      </c>
      <c r="B35" s="13">
        <v>46175.0</v>
      </c>
      <c r="C35" s="15">
        <v>2.0E7</v>
      </c>
      <c r="D35" s="15">
        <v>1.4E7</v>
      </c>
      <c r="E35" s="15">
        <v>1.8E7</v>
      </c>
      <c r="F35" s="19">
        <f t="shared" si="6"/>
        <v>2000000</v>
      </c>
      <c r="G35" s="21" t="s">
        <v>15</v>
      </c>
      <c r="H35" s="11" t="s">
        <v>16</v>
      </c>
      <c r="I35" s="26">
        <f t="shared" si="1"/>
        <v>0.1</v>
      </c>
      <c r="J35" s="28"/>
    </row>
    <row r="36" ht="22.5" customHeight="1">
      <c r="A36" s="11" t="s">
        <v>143</v>
      </c>
      <c r="B36" s="13">
        <v>46175.0</v>
      </c>
      <c r="C36" s="15">
        <v>2.0E7</v>
      </c>
      <c r="D36" s="15">
        <v>1.4E7</v>
      </c>
      <c r="E36" s="15">
        <v>1.5E7</v>
      </c>
      <c r="F36" s="19">
        <f t="shared" si="6"/>
        <v>5000000</v>
      </c>
      <c r="G36" s="21" t="s">
        <v>15</v>
      </c>
      <c r="H36" s="11" t="s">
        <v>16</v>
      </c>
      <c r="I36" s="26">
        <f t="shared" si="1"/>
        <v>0.25</v>
      </c>
      <c r="J36" s="28"/>
    </row>
    <row r="37" ht="22.5" customHeight="1">
      <c r="A37" s="11" t="s">
        <v>150</v>
      </c>
      <c r="B37" s="13">
        <v>46175.0</v>
      </c>
      <c r="C37" s="15">
        <v>1.6E7</v>
      </c>
      <c r="D37" s="15">
        <v>1.2E7</v>
      </c>
      <c r="E37" s="15">
        <v>0.0</v>
      </c>
      <c r="F37" s="19">
        <v>0.0</v>
      </c>
      <c r="G37" s="21" t="s">
        <v>24</v>
      </c>
      <c r="H37" s="11" t="s">
        <v>16</v>
      </c>
      <c r="I37" s="26">
        <f t="shared" si="1"/>
        <v>0</v>
      </c>
      <c r="J37" s="28"/>
    </row>
    <row r="38" ht="22.5" customHeight="1">
      <c r="A38" s="11" t="s">
        <v>154</v>
      </c>
      <c r="B38" s="13">
        <v>46175.0</v>
      </c>
      <c r="C38" s="15">
        <v>6.0E7</v>
      </c>
      <c r="D38" s="15">
        <v>4.0E7</v>
      </c>
      <c r="E38" s="15">
        <v>4.5E7</v>
      </c>
      <c r="F38" s="19">
        <f t="shared" ref="F38:F40" si="7">C38-E38</f>
        <v>15000000</v>
      </c>
      <c r="G38" s="21" t="s">
        <v>15</v>
      </c>
      <c r="H38" s="11" t="s">
        <v>16</v>
      </c>
      <c r="I38" s="26">
        <f t="shared" si="1"/>
        <v>0.25</v>
      </c>
      <c r="J38" s="28"/>
    </row>
    <row r="39" ht="22.5" customHeight="1">
      <c r="A39" s="11" t="s">
        <v>160</v>
      </c>
      <c r="B39" s="13">
        <v>46175.0</v>
      </c>
      <c r="C39" s="15">
        <v>4.0E7</v>
      </c>
      <c r="D39" s="15">
        <v>3.2E7</v>
      </c>
      <c r="E39" s="15">
        <v>3.2E7</v>
      </c>
      <c r="F39" s="19">
        <f t="shared" si="7"/>
        <v>8000000</v>
      </c>
      <c r="G39" s="21" t="s">
        <v>15</v>
      </c>
      <c r="H39" s="11" t="s">
        <v>16</v>
      </c>
      <c r="I39" s="26">
        <f t="shared" si="1"/>
        <v>0.2</v>
      </c>
      <c r="J39" s="28"/>
    </row>
    <row r="40" ht="22.5" customHeight="1">
      <c r="A40" s="11" t="s">
        <v>165</v>
      </c>
      <c r="B40" s="13">
        <v>46175.0</v>
      </c>
      <c r="C40" s="15">
        <v>9.5E7</v>
      </c>
      <c r="D40" s="15">
        <v>6.5E7</v>
      </c>
      <c r="E40" s="15">
        <v>7.5E7</v>
      </c>
      <c r="F40" s="19">
        <f t="shared" si="7"/>
        <v>20000000</v>
      </c>
      <c r="G40" s="21" t="s">
        <v>15</v>
      </c>
      <c r="H40" s="11" t="s">
        <v>16</v>
      </c>
      <c r="I40" s="26">
        <f t="shared" si="1"/>
        <v>0.2105263158</v>
      </c>
      <c r="J40" s="28"/>
    </row>
    <row r="41" ht="22.5" customHeight="1">
      <c r="A41" s="11" t="s">
        <v>170</v>
      </c>
      <c r="B41" s="13">
        <v>46175.0</v>
      </c>
      <c r="C41" s="15">
        <v>4.0E7</v>
      </c>
      <c r="D41" s="15">
        <v>3.0E7</v>
      </c>
      <c r="E41" s="15">
        <v>0.0</v>
      </c>
      <c r="F41" s="19">
        <v>0.0</v>
      </c>
      <c r="G41" s="21" t="s">
        <v>24</v>
      </c>
      <c r="H41" s="11" t="s">
        <v>16</v>
      </c>
      <c r="I41" s="26">
        <f t="shared" si="1"/>
        <v>0</v>
      </c>
      <c r="J41" s="28"/>
    </row>
    <row r="42" ht="22.5" customHeight="1">
      <c r="A42" s="11" t="s">
        <v>172</v>
      </c>
      <c r="B42" s="11" t="s">
        <v>174</v>
      </c>
      <c r="C42" s="15">
        <v>6.0E7</v>
      </c>
      <c r="D42" s="15">
        <v>4.5E7</v>
      </c>
      <c r="E42" s="15">
        <v>0.0</v>
      </c>
      <c r="F42" s="19">
        <v>0.0</v>
      </c>
      <c r="G42" s="21" t="s">
        <v>24</v>
      </c>
      <c r="H42" s="11" t="s">
        <v>16</v>
      </c>
      <c r="I42" s="26">
        <f t="shared" si="1"/>
        <v>0</v>
      </c>
      <c r="J42" s="28"/>
    </row>
    <row r="43" ht="22.5" customHeight="1">
      <c r="A43" s="11" t="s">
        <v>177</v>
      </c>
      <c r="B43" s="11" t="s">
        <v>178</v>
      </c>
      <c r="C43" s="15">
        <v>2.5E7</v>
      </c>
      <c r="D43" s="15">
        <v>2.0E7</v>
      </c>
      <c r="E43" s="15">
        <v>0.0</v>
      </c>
      <c r="F43" s="19">
        <v>0.0</v>
      </c>
      <c r="G43" s="21" t="s">
        <v>24</v>
      </c>
      <c r="H43" s="11" t="s">
        <v>16</v>
      </c>
      <c r="I43" s="26">
        <f t="shared" si="1"/>
        <v>0</v>
      </c>
      <c r="J43" s="28"/>
    </row>
    <row r="44" ht="22.5" customHeight="1">
      <c r="A44" s="11" t="s">
        <v>181</v>
      </c>
      <c r="B44" s="11" t="s">
        <v>178</v>
      </c>
      <c r="C44" s="15">
        <v>3.0E7</v>
      </c>
      <c r="D44" s="15">
        <v>2.2E7</v>
      </c>
      <c r="E44" s="15">
        <v>2.2E7</v>
      </c>
      <c r="F44" s="19">
        <f t="shared" ref="F44:F59" si="8">C44-E44</f>
        <v>8000000</v>
      </c>
      <c r="G44" s="21" t="s">
        <v>15</v>
      </c>
      <c r="H44" s="11" t="s">
        <v>16</v>
      </c>
      <c r="I44" s="26">
        <f t="shared" si="1"/>
        <v>0.2666666667</v>
      </c>
      <c r="J44" s="28"/>
    </row>
    <row r="45" ht="22.5" customHeight="1">
      <c r="A45" s="11" t="s">
        <v>187</v>
      </c>
      <c r="B45" s="11" t="s">
        <v>178</v>
      </c>
      <c r="C45" s="15">
        <v>2.5E7</v>
      </c>
      <c r="D45" s="15">
        <v>1.7E7</v>
      </c>
      <c r="E45" s="15">
        <v>2.2E7</v>
      </c>
      <c r="F45" s="19">
        <f t="shared" si="8"/>
        <v>3000000</v>
      </c>
      <c r="G45" s="21" t="s">
        <v>15</v>
      </c>
      <c r="H45" s="11" t="s">
        <v>16</v>
      </c>
      <c r="I45" s="26">
        <f t="shared" si="1"/>
        <v>0.12</v>
      </c>
      <c r="J45" s="28"/>
    </row>
    <row r="46" ht="22.5" customHeight="1">
      <c r="A46" s="11" t="s">
        <v>191</v>
      </c>
      <c r="B46" s="11" t="s">
        <v>178</v>
      </c>
      <c r="C46" s="15">
        <v>3.5E7</v>
      </c>
      <c r="D46" s="15">
        <v>2.8E7</v>
      </c>
      <c r="E46" s="15">
        <v>3.5E7</v>
      </c>
      <c r="F46" s="19">
        <f t="shared" si="8"/>
        <v>0</v>
      </c>
      <c r="G46" s="21" t="s">
        <v>24</v>
      </c>
      <c r="H46" s="11" t="s">
        <v>16</v>
      </c>
      <c r="I46" s="26">
        <f t="shared" si="1"/>
        <v>0</v>
      </c>
      <c r="J46" s="28"/>
    </row>
    <row r="47" ht="22.5" customHeight="1">
      <c r="A47" s="11" t="s">
        <v>194</v>
      </c>
      <c r="B47" s="11" t="s">
        <v>178</v>
      </c>
      <c r="C47" s="15">
        <v>3.0E7</v>
      </c>
      <c r="D47" s="15">
        <v>2.4E7</v>
      </c>
      <c r="E47" s="15">
        <v>2.7E7</v>
      </c>
      <c r="F47" s="19">
        <f t="shared" si="8"/>
        <v>3000000</v>
      </c>
      <c r="G47" s="21" t="s">
        <v>15</v>
      </c>
      <c r="H47" s="11" t="s">
        <v>16</v>
      </c>
      <c r="I47" s="26">
        <f t="shared" si="1"/>
        <v>0.1</v>
      </c>
      <c r="J47" s="28"/>
    </row>
    <row r="48" ht="22.5" customHeight="1">
      <c r="A48" s="11" t="s">
        <v>199</v>
      </c>
      <c r="B48" s="11" t="s">
        <v>178</v>
      </c>
      <c r="C48" s="15">
        <v>3.0E7</v>
      </c>
      <c r="D48" s="15">
        <v>2.4E7</v>
      </c>
      <c r="E48" s="15">
        <v>2.4E7</v>
      </c>
      <c r="F48" s="19">
        <f t="shared" si="8"/>
        <v>6000000</v>
      </c>
      <c r="G48" s="21" t="s">
        <v>15</v>
      </c>
      <c r="H48" s="11" t="s">
        <v>16</v>
      </c>
      <c r="I48" s="26">
        <f t="shared" si="1"/>
        <v>0.2</v>
      </c>
      <c r="J48" s="28"/>
    </row>
    <row r="49" ht="22.5" customHeight="1">
      <c r="A49" s="11" t="s">
        <v>204</v>
      </c>
      <c r="B49" s="11" t="s">
        <v>178</v>
      </c>
      <c r="C49" s="15">
        <v>3.5E7</v>
      </c>
      <c r="D49" s="15">
        <v>2.8E7</v>
      </c>
      <c r="E49" s="15">
        <v>3.5E7</v>
      </c>
      <c r="F49" s="19">
        <f t="shared" si="8"/>
        <v>0</v>
      </c>
      <c r="G49" s="21" t="s">
        <v>24</v>
      </c>
      <c r="H49" s="11" t="s">
        <v>16</v>
      </c>
      <c r="I49" s="26">
        <f t="shared" si="1"/>
        <v>0</v>
      </c>
      <c r="J49" s="75" t="s">
        <v>209</v>
      </c>
    </row>
    <row r="50" ht="22.5" customHeight="1">
      <c r="A50" s="11" t="s">
        <v>212</v>
      </c>
      <c r="B50" s="11" t="s">
        <v>178</v>
      </c>
      <c r="C50" s="15">
        <v>3.0E7</v>
      </c>
      <c r="D50" s="15">
        <v>2.2E7</v>
      </c>
      <c r="E50" s="15">
        <v>2.2E7</v>
      </c>
      <c r="F50" s="19">
        <f t="shared" si="8"/>
        <v>8000000</v>
      </c>
      <c r="G50" s="21" t="s">
        <v>15</v>
      </c>
      <c r="H50" s="11" t="s">
        <v>16</v>
      </c>
      <c r="I50" s="26">
        <f t="shared" si="1"/>
        <v>0.2666666667</v>
      </c>
      <c r="J50" s="28"/>
    </row>
    <row r="51" ht="22.5" customHeight="1">
      <c r="A51" s="11" t="s">
        <v>215</v>
      </c>
      <c r="B51" s="11" t="s">
        <v>178</v>
      </c>
      <c r="C51" s="15">
        <v>1.5E7</v>
      </c>
      <c r="D51" s="15">
        <v>1.0E7</v>
      </c>
      <c r="E51" s="15">
        <v>1.5E7</v>
      </c>
      <c r="F51" s="19">
        <f t="shared" si="8"/>
        <v>0</v>
      </c>
      <c r="G51" s="21" t="s">
        <v>15</v>
      </c>
      <c r="H51" s="11" t="s">
        <v>16</v>
      </c>
      <c r="I51" s="26">
        <f t="shared" si="1"/>
        <v>0</v>
      </c>
      <c r="J51" s="28"/>
    </row>
    <row r="52" ht="22.5" customHeight="1">
      <c r="A52" s="11" t="s">
        <v>221</v>
      </c>
      <c r="B52" s="11" t="s">
        <v>178</v>
      </c>
      <c r="C52" s="15">
        <v>1.2E8</v>
      </c>
      <c r="D52" s="15">
        <v>7.5E7</v>
      </c>
      <c r="E52" s="15">
        <v>1.0E8</v>
      </c>
      <c r="F52" s="19">
        <f t="shared" si="8"/>
        <v>20000000</v>
      </c>
      <c r="G52" s="21" t="s">
        <v>38</v>
      </c>
      <c r="H52" s="11" t="s">
        <v>16</v>
      </c>
      <c r="I52" s="26">
        <f t="shared" si="1"/>
        <v>0.1666666667</v>
      </c>
      <c r="J52" s="28"/>
    </row>
    <row r="53" ht="22.5" customHeight="1">
      <c r="A53" s="11" t="s">
        <v>224</v>
      </c>
      <c r="B53" s="11" t="s">
        <v>178</v>
      </c>
      <c r="C53" s="15">
        <v>2.3E7</v>
      </c>
      <c r="D53" s="15">
        <v>1.5E7</v>
      </c>
      <c r="E53" s="15">
        <v>1.8E7</v>
      </c>
      <c r="F53" s="19">
        <f t="shared" si="8"/>
        <v>5000000</v>
      </c>
      <c r="G53" s="21" t="s">
        <v>15</v>
      </c>
      <c r="H53" s="11" t="s">
        <v>16</v>
      </c>
      <c r="I53" s="26">
        <f t="shared" si="1"/>
        <v>0.2173913043</v>
      </c>
      <c r="J53" s="28"/>
    </row>
    <row r="54" ht="22.5" customHeight="1">
      <c r="A54" s="11" t="s">
        <v>229</v>
      </c>
      <c r="B54" s="11" t="s">
        <v>178</v>
      </c>
      <c r="C54" s="15">
        <v>4.0E7</v>
      </c>
      <c r="D54" s="15">
        <v>3.0E7</v>
      </c>
      <c r="E54" s="15">
        <v>3.8E7</v>
      </c>
      <c r="F54" s="19">
        <f t="shared" si="8"/>
        <v>2000000</v>
      </c>
      <c r="G54" s="21" t="s">
        <v>15</v>
      </c>
      <c r="H54" s="11" t="s">
        <v>16</v>
      </c>
      <c r="I54" s="26">
        <f t="shared" si="1"/>
        <v>0.05</v>
      </c>
      <c r="J54" s="28"/>
    </row>
    <row r="55" ht="22.5" customHeight="1">
      <c r="A55" s="11" t="s">
        <v>238</v>
      </c>
      <c r="B55" s="11" t="s">
        <v>178</v>
      </c>
      <c r="C55" s="15">
        <v>9000000.0</v>
      </c>
      <c r="D55" s="15">
        <v>8000000.0</v>
      </c>
      <c r="E55" s="15">
        <v>8000000.0</v>
      </c>
      <c r="F55" s="19">
        <f t="shared" si="8"/>
        <v>1000000</v>
      </c>
      <c r="G55" s="21" t="s">
        <v>15</v>
      </c>
      <c r="H55" s="11" t="s">
        <v>16</v>
      </c>
      <c r="I55" s="26">
        <f t="shared" si="1"/>
        <v>0.1111111111</v>
      </c>
      <c r="J55" s="28"/>
    </row>
    <row r="56" ht="22.5" customHeight="1">
      <c r="A56" s="11" t="s">
        <v>244</v>
      </c>
      <c r="B56" s="11" t="s">
        <v>178</v>
      </c>
      <c r="C56" s="15">
        <v>4.0E7</v>
      </c>
      <c r="D56" s="15">
        <v>3.0E7</v>
      </c>
      <c r="E56" s="15">
        <v>3.2E7</v>
      </c>
      <c r="F56" s="19">
        <f t="shared" si="8"/>
        <v>8000000</v>
      </c>
      <c r="G56" s="21" t="s">
        <v>15</v>
      </c>
      <c r="H56" s="11" t="s">
        <v>16</v>
      </c>
      <c r="I56" s="26">
        <f t="shared" si="1"/>
        <v>0.2</v>
      </c>
      <c r="J56" s="28"/>
    </row>
    <row r="57" ht="22.5" customHeight="1">
      <c r="A57" s="11" t="s">
        <v>248</v>
      </c>
      <c r="B57" s="11" t="s">
        <v>178</v>
      </c>
      <c r="C57" s="15">
        <v>4.0E7</v>
      </c>
      <c r="D57" s="15">
        <v>3.0E7</v>
      </c>
      <c r="E57" s="15">
        <v>3.5E7</v>
      </c>
      <c r="F57" s="19">
        <f t="shared" si="8"/>
        <v>5000000</v>
      </c>
      <c r="G57" s="21" t="s">
        <v>15</v>
      </c>
      <c r="H57" s="11" t="s">
        <v>16</v>
      </c>
      <c r="I57" s="26">
        <f t="shared" si="1"/>
        <v>0.125</v>
      </c>
      <c r="J57" s="28"/>
    </row>
    <row r="58" ht="22.5" customHeight="1">
      <c r="A58" s="11" t="s">
        <v>254</v>
      </c>
      <c r="B58" s="11" t="s">
        <v>178</v>
      </c>
      <c r="C58" s="15">
        <v>1.7E7</v>
      </c>
      <c r="D58" s="15">
        <v>1.2E7</v>
      </c>
      <c r="E58" s="15">
        <v>1.7E7</v>
      </c>
      <c r="F58" s="19">
        <f t="shared" si="8"/>
        <v>0</v>
      </c>
      <c r="G58" s="21" t="s">
        <v>15</v>
      </c>
      <c r="H58" s="11" t="s">
        <v>16</v>
      </c>
      <c r="I58" s="26">
        <f t="shared" si="1"/>
        <v>0</v>
      </c>
      <c r="J58" s="28"/>
    </row>
    <row r="59" ht="22.5" customHeight="1">
      <c r="A59" s="11" t="s">
        <v>257</v>
      </c>
      <c r="B59" s="11" t="s">
        <v>178</v>
      </c>
      <c r="C59" s="15">
        <v>2.5E7</v>
      </c>
      <c r="D59" s="15">
        <v>2.0E7</v>
      </c>
      <c r="E59" s="15">
        <v>2.2E7</v>
      </c>
      <c r="F59" s="19">
        <f t="shared" si="8"/>
        <v>3000000</v>
      </c>
      <c r="G59" s="21" t="s">
        <v>15</v>
      </c>
      <c r="H59" s="11" t="s">
        <v>16</v>
      </c>
      <c r="I59" s="26">
        <f t="shared" si="1"/>
        <v>0.12</v>
      </c>
      <c r="J59" s="28"/>
    </row>
    <row r="60" ht="22.5" customHeight="1">
      <c r="A60" s="11" t="s">
        <v>264</v>
      </c>
      <c r="B60" s="11" t="s">
        <v>178</v>
      </c>
      <c r="C60" s="15">
        <v>3.5E7</v>
      </c>
      <c r="D60" s="15">
        <v>2.7E7</v>
      </c>
      <c r="E60" s="15">
        <v>0.0</v>
      </c>
      <c r="F60" s="19">
        <v>0.0</v>
      </c>
      <c r="G60" s="21" t="s">
        <v>24</v>
      </c>
      <c r="H60" s="11" t="s">
        <v>16</v>
      </c>
      <c r="I60" s="26">
        <f t="shared" si="1"/>
        <v>0</v>
      </c>
      <c r="J60" s="28"/>
    </row>
    <row r="61" ht="22.5" customHeight="1">
      <c r="A61" s="11" t="s">
        <v>271</v>
      </c>
      <c r="B61" s="11" t="s">
        <v>273</v>
      </c>
      <c r="C61" s="15">
        <v>5.5E7</v>
      </c>
      <c r="D61" s="15">
        <v>4.0E7</v>
      </c>
      <c r="E61" s="15">
        <v>0.0</v>
      </c>
      <c r="F61" s="19">
        <v>0.0</v>
      </c>
      <c r="G61" s="21" t="s">
        <v>24</v>
      </c>
      <c r="H61" s="11" t="s">
        <v>16</v>
      </c>
      <c r="I61" s="26">
        <f t="shared" si="1"/>
        <v>0</v>
      </c>
      <c r="J61" s="28"/>
    </row>
    <row r="62" ht="22.5" customHeight="1">
      <c r="A62" s="11" t="s">
        <v>275</v>
      </c>
      <c r="B62" s="11" t="s">
        <v>273</v>
      </c>
      <c r="C62" s="15">
        <v>2.0E7</v>
      </c>
      <c r="D62" s="15">
        <v>1.4E7</v>
      </c>
      <c r="E62" s="15">
        <v>2.0E7</v>
      </c>
      <c r="F62" s="19">
        <f t="shared" ref="F62:F69" si="9">C62-E62</f>
        <v>0</v>
      </c>
      <c r="G62" s="21" t="s">
        <v>24</v>
      </c>
      <c r="H62" s="11" t="s">
        <v>16</v>
      </c>
      <c r="I62" s="26">
        <f t="shared" si="1"/>
        <v>0</v>
      </c>
      <c r="J62" s="75" t="s">
        <v>279</v>
      </c>
    </row>
    <row r="63" ht="22.5" customHeight="1">
      <c r="A63" s="11" t="s">
        <v>282</v>
      </c>
      <c r="B63" s="11" t="s">
        <v>273</v>
      </c>
      <c r="C63" s="15">
        <v>2.5E7</v>
      </c>
      <c r="D63" s="15">
        <v>1.8E7</v>
      </c>
      <c r="E63" s="15">
        <v>1.8E7</v>
      </c>
      <c r="F63" s="19">
        <f t="shared" si="9"/>
        <v>7000000</v>
      </c>
      <c r="G63" s="21" t="s">
        <v>15</v>
      </c>
      <c r="H63" s="11" t="s">
        <v>16</v>
      </c>
      <c r="I63" s="26">
        <f t="shared" si="1"/>
        <v>0.28</v>
      </c>
      <c r="J63" s="28"/>
    </row>
    <row r="64" ht="22.5" customHeight="1">
      <c r="A64" s="11" t="s">
        <v>285</v>
      </c>
      <c r="B64" s="11" t="s">
        <v>273</v>
      </c>
      <c r="C64" s="15">
        <v>5.5E7</v>
      </c>
      <c r="D64" s="15">
        <v>4.0E7</v>
      </c>
      <c r="E64" s="15">
        <v>4.2E7</v>
      </c>
      <c r="F64" s="19">
        <f t="shared" si="9"/>
        <v>13000000</v>
      </c>
      <c r="G64" s="21" t="s">
        <v>15</v>
      </c>
      <c r="H64" s="11" t="s">
        <v>16</v>
      </c>
      <c r="I64" s="26">
        <f t="shared" si="1"/>
        <v>0.2363636364</v>
      </c>
      <c r="J64" s="28"/>
    </row>
    <row r="65" ht="22.5" customHeight="1">
      <c r="A65" s="11" t="s">
        <v>289</v>
      </c>
      <c r="B65" s="13">
        <v>46084.0</v>
      </c>
      <c r="C65" s="15">
        <v>3.7E7</v>
      </c>
      <c r="D65" s="15">
        <v>2.8E7</v>
      </c>
      <c r="E65" s="15">
        <v>3.2E7</v>
      </c>
      <c r="F65" s="19">
        <f t="shared" si="9"/>
        <v>5000000</v>
      </c>
      <c r="G65" s="21" t="s">
        <v>15</v>
      </c>
      <c r="H65" s="11" t="s">
        <v>16</v>
      </c>
      <c r="I65" s="26">
        <f t="shared" si="1"/>
        <v>0.1351351351</v>
      </c>
      <c r="J65" s="28"/>
    </row>
    <row r="66" ht="22.5" customHeight="1">
      <c r="A66" s="11" t="s">
        <v>296</v>
      </c>
      <c r="B66" s="13">
        <v>46084.0</v>
      </c>
      <c r="C66" s="15">
        <v>3.6E7</v>
      </c>
      <c r="D66" s="15">
        <v>2.7E7</v>
      </c>
      <c r="E66" s="15">
        <v>3.0E7</v>
      </c>
      <c r="F66" s="19">
        <f t="shared" si="9"/>
        <v>6000000</v>
      </c>
      <c r="G66" s="21" t="s">
        <v>15</v>
      </c>
      <c r="H66" s="11" t="s">
        <v>16</v>
      </c>
      <c r="I66" s="26">
        <f t="shared" si="1"/>
        <v>0.1666666667</v>
      </c>
      <c r="J66" s="28"/>
    </row>
    <row r="67" ht="22.5" customHeight="1">
      <c r="A67" s="11" t="s">
        <v>298</v>
      </c>
      <c r="B67" s="13">
        <v>46084.0</v>
      </c>
      <c r="C67" s="15">
        <v>2.0E7</v>
      </c>
      <c r="D67" s="15">
        <v>1.5E7</v>
      </c>
      <c r="E67" s="15">
        <v>1.5E7</v>
      </c>
      <c r="F67" s="19">
        <f t="shared" si="9"/>
        <v>5000000</v>
      </c>
      <c r="G67" s="21" t="s">
        <v>15</v>
      </c>
      <c r="H67" s="11" t="s">
        <v>16</v>
      </c>
      <c r="I67" s="26">
        <f t="shared" si="1"/>
        <v>0.25</v>
      </c>
      <c r="J67" s="28"/>
    </row>
    <row r="68" ht="22.5" customHeight="1">
      <c r="A68" s="11" t="s">
        <v>303</v>
      </c>
      <c r="B68" s="13">
        <v>46084.0</v>
      </c>
      <c r="C68" s="15">
        <v>1.9E7</v>
      </c>
      <c r="D68" s="15">
        <v>1.5E7</v>
      </c>
      <c r="E68" s="15">
        <v>1.7E7</v>
      </c>
      <c r="F68" s="19">
        <f t="shared" si="9"/>
        <v>2000000</v>
      </c>
      <c r="G68" s="21" t="s">
        <v>15</v>
      </c>
      <c r="H68" s="11" t="s">
        <v>16</v>
      </c>
      <c r="I68" s="26">
        <f t="shared" si="1"/>
        <v>0.1052631579</v>
      </c>
      <c r="J68" s="28"/>
    </row>
    <row r="69" ht="22.5" customHeight="1">
      <c r="A69" s="11" t="s">
        <v>307</v>
      </c>
      <c r="B69" s="13">
        <v>46084.0</v>
      </c>
      <c r="C69" s="15">
        <v>3.0E7</v>
      </c>
      <c r="D69" s="15">
        <v>2.4E7</v>
      </c>
      <c r="E69" s="15">
        <v>2.4E7</v>
      </c>
      <c r="F69" s="19">
        <f t="shared" si="9"/>
        <v>6000000</v>
      </c>
      <c r="G69" s="21" t="s">
        <v>15</v>
      </c>
      <c r="H69" s="11" t="s">
        <v>16</v>
      </c>
      <c r="I69" s="26">
        <f t="shared" si="1"/>
        <v>0.2</v>
      </c>
      <c r="J69" s="28"/>
    </row>
    <row r="70" ht="22.5" customHeight="1">
      <c r="A70" s="11" t="s">
        <v>309</v>
      </c>
      <c r="B70" s="13">
        <v>46084.0</v>
      </c>
      <c r="C70" s="15">
        <v>1.3E7</v>
      </c>
      <c r="D70" s="15">
        <v>1.0E7</v>
      </c>
      <c r="E70" s="15">
        <v>1.0E7</v>
      </c>
      <c r="F70" s="19">
        <v>0.0</v>
      </c>
      <c r="G70" s="21" t="s">
        <v>24</v>
      </c>
      <c r="H70" s="11" t="s">
        <v>16</v>
      </c>
      <c r="I70" s="26">
        <f t="shared" si="1"/>
        <v>0</v>
      </c>
      <c r="J70" s="28"/>
    </row>
    <row r="71" ht="22.5" customHeight="1">
      <c r="A71" s="11" t="s">
        <v>312</v>
      </c>
      <c r="B71" s="13">
        <v>46084.0</v>
      </c>
      <c r="C71" s="15">
        <v>2.0E7</v>
      </c>
      <c r="D71" s="15">
        <v>1.5E7</v>
      </c>
      <c r="E71" s="15">
        <v>1.5E7</v>
      </c>
      <c r="F71" s="19">
        <f>C71-E71</f>
        <v>5000000</v>
      </c>
      <c r="G71" s="21" t="s">
        <v>15</v>
      </c>
      <c r="H71" s="11" t="s">
        <v>16</v>
      </c>
      <c r="I71" s="26">
        <f t="shared" si="1"/>
        <v>0.25</v>
      </c>
      <c r="J71" s="28"/>
    </row>
    <row r="72" ht="22.5" customHeight="1">
      <c r="A72" s="11" t="s">
        <v>316</v>
      </c>
      <c r="B72" s="13">
        <v>46084.0</v>
      </c>
      <c r="C72" s="15">
        <v>1.4E7</v>
      </c>
      <c r="D72" s="15">
        <v>1.0E7</v>
      </c>
      <c r="E72" s="15">
        <v>1.0E7</v>
      </c>
      <c r="F72" s="19">
        <v>0.0</v>
      </c>
      <c r="G72" s="21" t="s">
        <v>24</v>
      </c>
      <c r="H72" s="11" t="s">
        <v>16</v>
      </c>
      <c r="I72" s="26">
        <f t="shared" si="1"/>
        <v>0</v>
      </c>
      <c r="J72" s="28"/>
    </row>
    <row r="73" ht="22.5" customHeight="1">
      <c r="A73" s="11" t="s">
        <v>322</v>
      </c>
      <c r="B73" s="13">
        <v>46084.0</v>
      </c>
      <c r="C73" s="15">
        <v>1.3E7</v>
      </c>
      <c r="D73" s="15">
        <v>1.0E7</v>
      </c>
      <c r="E73" s="15">
        <v>1.15E7</v>
      </c>
      <c r="F73" s="19">
        <f t="shared" ref="F73:F76" si="10">C73-E73</f>
        <v>1500000</v>
      </c>
      <c r="G73" s="21" t="s">
        <v>15</v>
      </c>
      <c r="H73" s="11" t="s">
        <v>16</v>
      </c>
      <c r="I73" s="26">
        <f t="shared" si="1"/>
        <v>0.1153846154</v>
      </c>
      <c r="J73" s="28"/>
    </row>
    <row r="74" ht="22.5" customHeight="1">
      <c r="A74" s="11" t="s">
        <v>326</v>
      </c>
      <c r="B74" s="13">
        <v>46084.0</v>
      </c>
      <c r="C74" s="15">
        <v>5.0E7</v>
      </c>
      <c r="D74" s="15">
        <v>3.5E7</v>
      </c>
      <c r="E74" s="15">
        <v>3.5E7</v>
      </c>
      <c r="F74" s="19">
        <f t="shared" si="10"/>
        <v>15000000</v>
      </c>
      <c r="G74" s="21" t="s">
        <v>15</v>
      </c>
      <c r="H74" s="11" t="s">
        <v>16</v>
      </c>
      <c r="I74" s="26">
        <f t="shared" si="1"/>
        <v>0.3</v>
      </c>
      <c r="J74" s="28"/>
    </row>
    <row r="75" ht="22.5" customHeight="1">
      <c r="A75" s="11" t="s">
        <v>331</v>
      </c>
      <c r="B75" s="13">
        <v>46084.0</v>
      </c>
      <c r="C75" s="15">
        <v>6.0E7</v>
      </c>
      <c r="D75" s="15">
        <v>4.0E7</v>
      </c>
      <c r="E75" s="15">
        <v>5.5E7</v>
      </c>
      <c r="F75" s="19">
        <f t="shared" si="10"/>
        <v>5000000</v>
      </c>
      <c r="G75" s="21" t="s">
        <v>15</v>
      </c>
      <c r="H75" s="11" t="s">
        <v>16</v>
      </c>
      <c r="I75" s="26">
        <f t="shared" si="1"/>
        <v>0.08333333333</v>
      </c>
      <c r="J75" s="28"/>
    </row>
    <row r="76" ht="22.5" customHeight="1">
      <c r="A76" s="11" t="s">
        <v>337</v>
      </c>
      <c r="B76" s="13">
        <v>46145.0</v>
      </c>
      <c r="C76" s="15">
        <v>2.5E7</v>
      </c>
      <c r="D76" s="15">
        <v>1.7E7</v>
      </c>
      <c r="E76" s="15">
        <v>1.8E7</v>
      </c>
      <c r="F76" s="19">
        <f t="shared" si="10"/>
        <v>7000000</v>
      </c>
      <c r="G76" s="21" t="s">
        <v>15</v>
      </c>
      <c r="H76" s="11" t="s">
        <v>16</v>
      </c>
      <c r="I76" s="26">
        <f t="shared" si="1"/>
        <v>0.28</v>
      </c>
      <c r="J76" s="28"/>
    </row>
    <row r="77" ht="22.5" customHeight="1">
      <c r="A77" s="11" t="s">
        <v>341</v>
      </c>
      <c r="B77" s="13">
        <v>46145.0</v>
      </c>
      <c r="C77" s="15">
        <v>6.5E7</v>
      </c>
      <c r="D77" s="15">
        <v>4.5E7</v>
      </c>
      <c r="E77" s="15">
        <v>0.0</v>
      </c>
      <c r="F77" s="19">
        <v>0.0</v>
      </c>
      <c r="G77" s="21" t="s">
        <v>24</v>
      </c>
      <c r="H77" s="11" t="s">
        <v>16</v>
      </c>
      <c r="I77" s="26">
        <f t="shared" si="1"/>
        <v>0</v>
      </c>
      <c r="J77" s="28"/>
    </row>
    <row r="78" ht="22.5" customHeight="1">
      <c r="A78" s="11" t="s">
        <v>344</v>
      </c>
      <c r="B78" s="13">
        <v>46145.0</v>
      </c>
      <c r="C78" s="15">
        <v>3.6E7</v>
      </c>
      <c r="D78" s="15">
        <v>3.0E7</v>
      </c>
      <c r="E78" s="15">
        <v>3.15E7</v>
      </c>
      <c r="F78" s="19">
        <f>C78-E78</f>
        <v>4500000</v>
      </c>
      <c r="G78" s="21" t="s">
        <v>15</v>
      </c>
      <c r="H78" s="11" t="s">
        <v>16</v>
      </c>
      <c r="I78" s="26">
        <f t="shared" si="1"/>
        <v>0.125</v>
      </c>
      <c r="J78" s="28"/>
    </row>
    <row r="79" ht="22.5" customHeight="1">
      <c r="A79" s="11" t="s">
        <v>346</v>
      </c>
      <c r="B79" s="13">
        <v>46145.0</v>
      </c>
      <c r="C79" s="15">
        <v>1.5E7</v>
      </c>
      <c r="D79" s="15">
        <v>1.0E7</v>
      </c>
      <c r="E79" s="15">
        <v>0.0</v>
      </c>
      <c r="F79" s="19">
        <v>0.0</v>
      </c>
      <c r="G79" s="21" t="s">
        <v>24</v>
      </c>
      <c r="H79" s="11" t="s">
        <v>16</v>
      </c>
      <c r="I79" s="26">
        <f t="shared" si="1"/>
        <v>0</v>
      </c>
      <c r="J79" s="28"/>
    </row>
    <row r="80" ht="22.5" customHeight="1">
      <c r="A80" s="85" t="s">
        <v>349</v>
      </c>
      <c r="B80" s="11" t="s">
        <v>352</v>
      </c>
      <c r="C80" s="15">
        <v>4.0E7</v>
      </c>
      <c r="D80" s="15">
        <v>3.0E7</v>
      </c>
      <c r="E80" s="15">
        <v>4.0E7</v>
      </c>
      <c r="F80" s="19">
        <f t="shared" ref="F80:F318" si="11">C80-E80</f>
        <v>0</v>
      </c>
      <c r="G80" s="21" t="s">
        <v>15</v>
      </c>
      <c r="H80" s="11" t="s">
        <v>16</v>
      </c>
      <c r="I80" s="26">
        <f t="shared" si="1"/>
        <v>0</v>
      </c>
      <c r="J80" s="28"/>
    </row>
    <row r="81" ht="22.5" customHeight="1">
      <c r="A81" s="11" t="s">
        <v>354</v>
      </c>
      <c r="B81" s="11" t="s">
        <v>352</v>
      </c>
      <c r="C81" s="15">
        <v>2.0E7</v>
      </c>
      <c r="D81" s="15">
        <v>1.5E7</v>
      </c>
      <c r="E81" s="15">
        <v>1.8E7</v>
      </c>
      <c r="F81" s="19">
        <f t="shared" si="11"/>
        <v>2000000</v>
      </c>
      <c r="G81" s="21" t="s">
        <v>15</v>
      </c>
      <c r="H81" s="11" t="s">
        <v>16</v>
      </c>
      <c r="I81" s="26">
        <f t="shared" si="1"/>
        <v>0.1</v>
      </c>
      <c r="J81" s="28"/>
    </row>
    <row r="82" ht="22.5" customHeight="1">
      <c r="A82" s="11" t="s">
        <v>359</v>
      </c>
      <c r="B82" s="11" t="s">
        <v>352</v>
      </c>
      <c r="C82" s="15">
        <v>2.7E7</v>
      </c>
      <c r="D82" s="15">
        <v>2.2E7</v>
      </c>
      <c r="E82" s="15">
        <v>2.4E7</v>
      </c>
      <c r="F82" s="19">
        <f t="shared" si="11"/>
        <v>3000000</v>
      </c>
      <c r="G82" s="21" t="s">
        <v>15</v>
      </c>
      <c r="H82" s="11" t="s">
        <v>16</v>
      </c>
      <c r="I82" s="26">
        <f t="shared" si="1"/>
        <v>0.1111111111</v>
      </c>
      <c r="J82" s="28"/>
    </row>
    <row r="83" ht="22.5" customHeight="1">
      <c r="A83" s="11" t="s">
        <v>363</v>
      </c>
      <c r="B83" s="11" t="s">
        <v>352</v>
      </c>
      <c r="C83" s="15">
        <v>2.1E7</v>
      </c>
      <c r="D83" s="15">
        <v>1.5E7</v>
      </c>
      <c r="E83" s="15">
        <v>2.0E7</v>
      </c>
      <c r="F83" s="19">
        <f t="shared" si="11"/>
        <v>1000000</v>
      </c>
      <c r="G83" s="21" t="s">
        <v>24</v>
      </c>
      <c r="H83" s="11" t="s">
        <v>16</v>
      </c>
      <c r="I83" s="26">
        <f t="shared" si="1"/>
        <v>0.04761904762</v>
      </c>
      <c r="J83" s="75" t="s">
        <v>366</v>
      </c>
    </row>
    <row r="84" ht="22.5" customHeight="1">
      <c r="A84" s="11" t="s">
        <v>368</v>
      </c>
      <c r="B84" s="11" t="s">
        <v>352</v>
      </c>
      <c r="C84" s="15">
        <v>1.4E7</v>
      </c>
      <c r="D84" s="15">
        <v>1.0E7</v>
      </c>
      <c r="E84" s="15">
        <v>1.3E7</v>
      </c>
      <c r="F84" s="19">
        <f t="shared" si="11"/>
        <v>1000000</v>
      </c>
      <c r="G84" s="21" t="s">
        <v>24</v>
      </c>
      <c r="H84" s="11" t="s">
        <v>16</v>
      </c>
      <c r="I84" s="26">
        <f t="shared" si="1"/>
        <v>0.07142857143</v>
      </c>
      <c r="J84" s="28"/>
    </row>
    <row r="85" ht="22.5" customHeight="1">
      <c r="A85" s="11" t="s">
        <v>371</v>
      </c>
      <c r="B85" s="11" t="s">
        <v>352</v>
      </c>
      <c r="C85" s="15">
        <v>2.7E7</v>
      </c>
      <c r="D85" s="15">
        <v>2.0E7</v>
      </c>
      <c r="E85" s="15">
        <v>2.4E7</v>
      </c>
      <c r="F85" s="19">
        <f t="shared" si="11"/>
        <v>3000000</v>
      </c>
      <c r="G85" s="21" t="s">
        <v>15</v>
      </c>
      <c r="H85" s="11" t="s">
        <v>16</v>
      </c>
      <c r="I85" s="26">
        <f t="shared" si="1"/>
        <v>0.1111111111</v>
      </c>
      <c r="J85" s="28"/>
    </row>
    <row r="86" ht="22.5" customHeight="1">
      <c r="A86" s="11" t="s">
        <v>375</v>
      </c>
      <c r="B86" s="11" t="s">
        <v>352</v>
      </c>
      <c r="C86" s="15">
        <v>3.0E7</v>
      </c>
      <c r="D86" s="15">
        <v>2.0E7</v>
      </c>
      <c r="E86" s="15">
        <v>2.5E7</v>
      </c>
      <c r="F86" s="19">
        <f t="shared" si="11"/>
        <v>5000000</v>
      </c>
      <c r="G86" s="21" t="s">
        <v>15</v>
      </c>
      <c r="H86" s="11" t="s">
        <v>16</v>
      </c>
      <c r="I86" s="26">
        <f t="shared" si="1"/>
        <v>0.1666666667</v>
      </c>
      <c r="J86" s="28"/>
    </row>
    <row r="87" ht="22.5" customHeight="1">
      <c r="A87" s="11" t="s">
        <v>378</v>
      </c>
      <c r="B87" s="11" t="s">
        <v>352</v>
      </c>
      <c r="C87" s="15">
        <v>2.5E7</v>
      </c>
      <c r="D87" s="15">
        <v>1.8E7</v>
      </c>
      <c r="E87" s="15">
        <v>2.3E7</v>
      </c>
      <c r="F87" s="19">
        <f t="shared" si="11"/>
        <v>2000000</v>
      </c>
      <c r="G87" s="21" t="s">
        <v>15</v>
      </c>
      <c r="H87" s="11" t="s">
        <v>16</v>
      </c>
      <c r="I87" s="26">
        <f t="shared" si="1"/>
        <v>0.08</v>
      </c>
      <c r="J87" s="28"/>
    </row>
    <row r="88" ht="22.5" customHeight="1">
      <c r="A88" s="11" t="s">
        <v>382</v>
      </c>
      <c r="B88" s="11" t="s">
        <v>352</v>
      </c>
      <c r="C88" s="15">
        <v>3.0E7</v>
      </c>
      <c r="D88" s="15">
        <v>2.2E7</v>
      </c>
      <c r="E88" s="15">
        <v>2.5E7</v>
      </c>
      <c r="F88" s="19">
        <f t="shared" si="11"/>
        <v>5000000</v>
      </c>
      <c r="G88" s="21" t="s">
        <v>15</v>
      </c>
      <c r="H88" s="11" t="s">
        <v>16</v>
      </c>
      <c r="I88" s="26">
        <f t="shared" si="1"/>
        <v>0.1666666667</v>
      </c>
      <c r="J88" s="28"/>
    </row>
    <row r="89" ht="22.5" customHeight="1">
      <c r="A89" s="89" t="s">
        <v>388</v>
      </c>
      <c r="B89" s="90">
        <v>46113.0</v>
      </c>
      <c r="C89" s="91">
        <v>2.0E7</v>
      </c>
      <c r="D89" s="91">
        <v>1.4E7</v>
      </c>
      <c r="E89" s="76">
        <v>1.95E7</v>
      </c>
      <c r="F89" s="19">
        <f t="shared" si="11"/>
        <v>500000</v>
      </c>
      <c r="G89" s="92" t="s">
        <v>15</v>
      </c>
      <c r="H89" s="11" t="s">
        <v>16</v>
      </c>
      <c r="I89" s="26">
        <f t="shared" ref="I89:I318" si="12">F89/D89*100%</f>
        <v>0.03571428571</v>
      </c>
      <c r="J89" s="28"/>
    </row>
    <row r="90" ht="22.5" customHeight="1">
      <c r="A90" s="89" t="s">
        <v>392</v>
      </c>
      <c r="B90" s="38">
        <v>46113.0</v>
      </c>
      <c r="C90" s="91">
        <v>2.5E7</v>
      </c>
      <c r="D90" s="91">
        <v>2.0E7</v>
      </c>
      <c r="E90" s="76">
        <v>2.0E7</v>
      </c>
      <c r="F90" s="19">
        <f t="shared" si="11"/>
        <v>5000000</v>
      </c>
      <c r="G90" s="92" t="s">
        <v>15</v>
      </c>
      <c r="H90" s="11" t="s">
        <v>16</v>
      </c>
      <c r="I90" s="26">
        <f t="shared" si="12"/>
        <v>0.25</v>
      </c>
      <c r="J90" s="28"/>
    </row>
    <row r="91" ht="22.5" customHeight="1">
      <c r="A91" s="89" t="s">
        <v>396</v>
      </c>
      <c r="B91" s="38">
        <v>46113.0</v>
      </c>
      <c r="C91" s="91">
        <v>1.7E7</v>
      </c>
      <c r="D91" s="91">
        <v>1.2E7</v>
      </c>
      <c r="E91" s="76">
        <v>1.7E7</v>
      </c>
      <c r="F91" s="19">
        <f t="shared" si="11"/>
        <v>0</v>
      </c>
      <c r="G91" s="92" t="s">
        <v>24</v>
      </c>
      <c r="H91" s="11" t="s">
        <v>16</v>
      </c>
      <c r="I91" s="26">
        <f t="shared" si="12"/>
        <v>0</v>
      </c>
      <c r="J91" s="75" t="s">
        <v>401</v>
      </c>
    </row>
    <row r="92" ht="22.5" customHeight="1">
      <c r="A92" s="89" t="s">
        <v>402</v>
      </c>
      <c r="B92" s="38">
        <v>46113.0</v>
      </c>
      <c r="C92" s="91">
        <v>1.7E7</v>
      </c>
      <c r="D92" s="91">
        <v>1.3E7</v>
      </c>
      <c r="E92" s="76">
        <v>1.6E7</v>
      </c>
      <c r="F92" s="19">
        <f t="shared" si="11"/>
        <v>1000000</v>
      </c>
      <c r="G92" s="92" t="s">
        <v>15</v>
      </c>
      <c r="H92" s="11" t="s">
        <v>16</v>
      </c>
      <c r="I92" s="26">
        <f t="shared" si="12"/>
        <v>0.07692307692</v>
      </c>
      <c r="J92" s="28"/>
    </row>
    <row r="93" ht="22.5" customHeight="1">
      <c r="A93" s="89" t="s">
        <v>406</v>
      </c>
      <c r="B93" s="38">
        <v>46113.0</v>
      </c>
      <c r="C93" s="91">
        <v>1.4E7</v>
      </c>
      <c r="D93" s="91">
        <v>1.0E7</v>
      </c>
      <c r="E93" s="76">
        <v>1.3E7</v>
      </c>
      <c r="F93" s="19">
        <f t="shared" si="11"/>
        <v>1000000</v>
      </c>
      <c r="G93" s="92" t="s">
        <v>15</v>
      </c>
      <c r="H93" s="11" t="s">
        <v>16</v>
      </c>
      <c r="I93" s="26">
        <f t="shared" si="12"/>
        <v>0.1</v>
      </c>
      <c r="J93" s="28"/>
    </row>
    <row r="94" ht="22.5" customHeight="1">
      <c r="A94" s="89" t="s">
        <v>409</v>
      </c>
      <c r="B94" s="38">
        <v>46113.0</v>
      </c>
      <c r="C94" s="91">
        <v>2.5E7</v>
      </c>
      <c r="D94" s="91">
        <v>2.0E7</v>
      </c>
      <c r="E94" s="76">
        <v>2.0E7</v>
      </c>
      <c r="F94" s="19">
        <f t="shared" si="11"/>
        <v>5000000</v>
      </c>
      <c r="G94" s="92" t="s">
        <v>15</v>
      </c>
      <c r="H94" s="11" t="s">
        <v>16</v>
      </c>
      <c r="I94" s="26">
        <f t="shared" si="12"/>
        <v>0.25</v>
      </c>
      <c r="J94" s="28"/>
    </row>
    <row r="95" ht="22.5" customHeight="1">
      <c r="A95" s="11" t="s">
        <v>414</v>
      </c>
      <c r="B95" s="95">
        <v>46116.0</v>
      </c>
      <c r="C95" s="60">
        <v>1.5E7</v>
      </c>
      <c r="D95" s="60">
        <v>1.0E7</v>
      </c>
      <c r="E95" s="76">
        <v>1.3E7</v>
      </c>
      <c r="F95" s="97">
        <f t="shared" si="11"/>
        <v>2000000</v>
      </c>
      <c r="G95" s="92" t="s">
        <v>15</v>
      </c>
      <c r="H95" s="11" t="s">
        <v>16</v>
      </c>
      <c r="I95" s="26">
        <f t="shared" si="12"/>
        <v>0.2</v>
      </c>
      <c r="J95" s="28"/>
    </row>
    <row r="96" ht="22.5" customHeight="1">
      <c r="A96" s="11" t="s">
        <v>418</v>
      </c>
      <c r="B96" s="95">
        <v>46116.0</v>
      </c>
      <c r="C96" s="60">
        <v>3.3E7</v>
      </c>
      <c r="D96" s="60">
        <v>2.5E7</v>
      </c>
      <c r="E96" s="76">
        <v>2.5E7</v>
      </c>
      <c r="F96" s="97">
        <f t="shared" si="11"/>
        <v>8000000</v>
      </c>
      <c r="G96" s="92" t="s">
        <v>15</v>
      </c>
      <c r="H96" s="11" t="s">
        <v>16</v>
      </c>
      <c r="I96" s="26">
        <f t="shared" si="12"/>
        <v>0.32</v>
      </c>
      <c r="J96" s="28"/>
    </row>
    <row r="97" ht="22.5" customHeight="1">
      <c r="A97" s="11" t="s">
        <v>425</v>
      </c>
      <c r="B97" s="95">
        <v>46116.0</v>
      </c>
      <c r="C97" s="60">
        <v>9.2E7</v>
      </c>
      <c r="D97" s="60">
        <v>7.5E7</v>
      </c>
      <c r="E97" s="76">
        <v>9.2E7</v>
      </c>
      <c r="F97" s="97">
        <f t="shared" si="11"/>
        <v>0</v>
      </c>
      <c r="G97" s="92" t="s">
        <v>24</v>
      </c>
      <c r="H97" s="11" t="s">
        <v>16</v>
      </c>
      <c r="I97" s="26">
        <f t="shared" si="12"/>
        <v>0</v>
      </c>
      <c r="J97" s="28"/>
    </row>
    <row r="98" ht="22.5" customHeight="1">
      <c r="A98" s="11" t="s">
        <v>429</v>
      </c>
      <c r="B98" s="95">
        <v>46116.0</v>
      </c>
      <c r="C98" s="60">
        <v>4.0E7</v>
      </c>
      <c r="D98" s="60">
        <v>3.0E7</v>
      </c>
      <c r="E98" s="76">
        <v>3.0E7</v>
      </c>
      <c r="F98" s="97">
        <f t="shared" si="11"/>
        <v>10000000</v>
      </c>
      <c r="G98" s="92" t="s">
        <v>15</v>
      </c>
      <c r="H98" s="11" t="s">
        <v>16</v>
      </c>
      <c r="I98" s="26">
        <f t="shared" si="12"/>
        <v>0.3333333333</v>
      </c>
      <c r="J98" s="28"/>
    </row>
    <row r="99" ht="22.5" customHeight="1">
      <c r="A99" s="11" t="s">
        <v>434</v>
      </c>
      <c r="B99" s="95">
        <v>46116.0</v>
      </c>
      <c r="C99" s="60">
        <v>2.6E7</v>
      </c>
      <c r="D99" s="60">
        <v>2.0E7</v>
      </c>
      <c r="E99" s="76">
        <v>2.1E7</v>
      </c>
      <c r="F99" s="97">
        <f t="shared" si="11"/>
        <v>5000000</v>
      </c>
      <c r="G99" s="92" t="s">
        <v>15</v>
      </c>
      <c r="H99" s="11" t="s">
        <v>16</v>
      </c>
      <c r="I99" s="26">
        <f t="shared" si="12"/>
        <v>0.25</v>
      </c>
      <c r="J99" s="28"/>
    </row>
    <row r="100" ht="22.5" customHeight="1">
      <c r="A100" s="11" t="s">
        <v>437</v>
      </c>
      <c r="B100" s="95">
        <v>46116.0</v>
      </c>
      <c r="C100" s="60">
        <v>1.0E7</v>
      </c>
      <c r="D100" s="60">
        <v>7000000.0</v>
      </c>
      <c r="E100" s="76">
        <v>9000000.0</v>
      </c>
      <c r="F100" s="97">
        <f t="shared" si="11"/>
        <v>1000000</v>
      </c>
      <c r="G100" s="92" t="s">
        <v>15</v>
      </c>
      <c r="H100" s="11" t="s">
        <v>16</v>
      </c>
      <c r="I100" s="26">
        <f t="shared" si="12"/>
        <v>0.1428571429</v>
      </c>
      <c r="J100" s="28"/>
    </row>
    <row r="101" ht="22.5" customHeight="1">
      <c r="A101" s="11" t="s">
        <v>443</v>
      </c>
      <c r="B101" s="95">
        <v>46116.0</v>
      </c>
      <c r="C101" s="60">
        <v>7.0E7</v>
      </c>
      <c r="D101" s="60">
        <v>5.0E7</v>
      </c>
      <c r="E101" s="76">
        <v>5.5E7</v>
      </c>
      <c r="F101" s="97">
        <f t="shared" si="11"/>
        <v>15000000</v>
      </c>
      <c r="G101" s="92" t="s">
        <v>15</v>
      </c>
      <c r="H101" s="75" t="s">
        <v>16</v>
      </c>
      <c r="I101" s="26">
        <f t="shared" si="12"/>
        <v>0.3</v>
      </c>
      <c r="J101" s="28"/>
    </row>
    <row r="102" ht="22.5" customHeight="1">
      <c r="A102" s="75" t="s">
        <v>446</v>
      </c>
      <c r="B102" s="99">
        <v>46120.0</v>
      </c>
      <c r="C102" s="76">
        <v>6.25E7</v>
      </c>
      <c r="D102" s="76">
        <v>5.0E7</v>
      </c>
      <c r="E102" s="76">
        <v>5.25E7</v>
      </c>
      <c r="F102" s="97">
        <f t="shared" si="11"/>
        <v>10000000</v>
      </c>
      <c r="G102" s="92" t="s">
        <v>24</v>
      </c>
      <c r="H102" s="75" t="s">
        <v>16</v>
      </c>
      <c r="I102" s="26">
        <f t="shared" si="12"/>
        <v>0.2</v>
      </c>
      <c r="J102" s="75" t="s">
        <v>449</v>
      </c>
    </row>
    <row r="103" ht="22.5" customHeight="1">
      <c r="A103" s="89" t="s">
        <v>450</v>
      </c>
      <c r="B103" s="38">
        <v>46121.0</v>
      </c>
      <c r="C103" s="91">
        <v>4.0E7</v>
      </c>
      <c r="D103" s="91">
        <v>3.0E7</v>
      </c>
      <c r="E103" s="76">
        <v>3.2E7</v>
      </c>
      <c r="F103" s="97">
        <f t="shared" si="11"/>
        <v>8000000</v>
      </c>
      <c r="G103" s="92" t="s">
        <v>15</v>
      </c>
      <c r="H103" s="75" t="s">
        <v>16</v>
      </c>
      <c r="I103" s="26">
        <f t="shared" si="12"/>
        <v>0.2666666667</v>
      </c>
      <c r="J103" s="28"/>
    </row>
    <row r="104" ht="22.5" customHeight="1">
      <c r="A104" s="89" t="s">
        <v>453</v>
      </c>
      <c r="B104" s="38">
        <v>46121.0</v>
      </c>
      <c r="C104" s="91">
        <v>3.5E7</v>
      </c>
      <c r="D104" s="91">
        <v>2.6E7</v>
      </c>
      <c r="E104" s="76">
        <v>3.5E7</v>
      </c>
      <c r="F104" s="97">
        <f t="shared" si="11"/>
        <v>0</v>
      </c>
      <c r="G104" s="92" t="s">
        <v>15</v>
      </c>
      <c r="H104" s="75" t="s">
        <v>16</v>
      </c>
      <c r="I104" s="26">
        <f t="shared" si="12"/>
        <v>0</v>
      </c>
      <c r="J104" s="28"/>
    </row>
    <row r="105" ht="22.5" customHeight="1">
      <c r="A105" s="89" t="s">
        <v>456</v>
      </c>
      <c r="B105" s="38">
        <v>46121.0</v>
      </c>
      <c r="C105" s="91">
        <v>3.5E7</v>
      </c>
      <c r="D105" s="91">
        <v>2.8E7</v>
      </c>
      <c r="E105" s="76">
        <v>3.4E7</v>
      </c>
      <c r="F105" s="97">
        <f t="shared" si="11"/>
        <v>1000000</v>
      </c>
      <c r="G105" s="92" t="s">
        <v>15</v>
      </c>
      <c r="H105" s="75" t="s">
        <v>16</v>
      </c>
      <c r="I105" s="26">
        <f t="shared" si="12"/>
        <v>0.03571428571</v>
      </c>
      <c r="J105" s="28"/>
    </row>
    <row r="106" ht="22.5" customHeight="1">
      <c r="A106" s="82" t="s">
        <v>460</v>
      </c>
      <c r="B106" s="38">
        <v>46121.0</v>
      </c>
      <c r="C106" s="91">
        <v>2.4E8</v>
      </c>
      <c r="D106" s="91">
        <v>1.8E8</v>
      </c>
      <c r="E106" s="76">
        <v>1.8E8</v>
      </c>
      <c r="F106" s="97">
        <f t="shared" si="11"/>
        <v>60000000</v>
      </c>
      <c r="G106" s="92" t="s">
        <v>24</v>
      </c>
      <c r="H106" s="75" t="s">
        <v>16</v>
      </c>
      <c r="I106" s="26">
        <f t="shared" si="12"/>
        <v>0.3333333333</v>
      </c>
      <c r="J106" s="75" t="s">
        <v>449</v>
      </c>
    </row>
    <row r="107" ht="22.5" customHeight="1">
      <c r="A107" s="89" t="s">
        <v>463</v>
      </c>
      <c r="B107" s="73">
        <v>46134.0</v>
      </c>
      <c r="C107" s="91">
        <v>5.0E7</v>
      </c>
      <c r="D107" s="91">
        <v>3.8E7</v>
      </c>
      <c r="E107" s="76">
        <v>5.0E7</v>
      </c>
      <c r="F107" s="97">
        <f t="shared" si="11"/>
        <v>0</v>
      </c>
      <c r="G107" s="92" t="s">
        <v>24</v>
      </c>
      <c r="H107" s="75" t="s">
        <v>16</v>
      </c>
      <c r="I107" s="26">
        <f t="shared" si="12"/>
        <v>0</v>
      </c>
      <c r="J107" s="75" t="s">
        <v>466</v>
      </c>
    </row>
    <row r="108" ht="22.5" customHeight="1">
      <c r="A108" s="89" t="s">
        <v>468</v>
      </c>
      <c r="B108" s="73">
        <v>46134.0</v>
      </c>
      <c r="C108" s="91">
        <v>1.0E7</v>
      </c>
      <c r="D108" s="91">
        <v>7000000.0</v>
      </c>
      <c r="E108" s="76">
        <v>7000000.0</v>
      </c>
      <c r="F108" s="97">
        <f t="shared" si="11"/>
        <v>3000000</v>
      </c>
      <c r="G108" s="92" t="s">
        <v>15</v>
      </c>
      <c r="H108" s="75" t="s">
        <v>16</v>
      </c>
      <c r="I108" s="26">
        <f t="shared" si="12"/>
        <v>0.4285714286</v>
      </c>
      <c r="J108" s="28"/>
    </row>
    <row r="109" ht="22.5" customHeight="1">
      <c r="A109" s="89" t="s">
        <v>472</v>
      </c>
      <c r="B109" s="73">
        <v>46134.0</v>
      </c>
      <c r="C109" s="91">
        <v>3.6E7</v>
      </c>
      <c r="D109" s="91">
        <v>3.0E7</v>
      </c>
      <c r="E109" s="76">
        <v>3.3333333E7</v>
      </c>
      <c r="F109" s="97">
        <f t="shared" si="11"/>
        <v>2666667</v>
      </c>
      <c r="G109" s="92" t="s">
        <v>15</v>
      </c>
      <c r="H109" s="75" t="s">
        <v>16</v>
      </c>
      <c r="I109" s="26">
        <f t="shared" si="12"/>
        <v>0.0888889</v>
      </c>
      <c r="J109" s="28"/>
    </row>
    <row r="110" ht="22.5" customHeight="1">
      <c r="A110" s="89" t="s">
        <v>478</v>
      </c>
      <c r="B110" s="73">
        <v>46134.0</v>
      </c>
      <c r="C110" s="91">
        <v>2.0E7</v>
      </c>
      <c r="D110" s="91">
        <v>1.5E7</v>
      </c>
      <c r="E110" s="76">
        <v>2.0E7</v>
      </c>
      <c r="F110" s="97">
        <f t="shared" si="11"/>
        <v>0</v>
      </c>
      <c r="G110" s="92" t="s">
        <v>15</v>
      </c>
      <c r="H110" s="75" t="s">
        <v>16</v>
      </c>
      <c r="I110" s="26">
        <f t="shared" si="12"/>
        <v>0</v>
      </c>
      <c r="J110" s="28"/>
    </row>
    <row r="111" ht="22.5" customHeight="1">
      <c r="A111" s="89" t="s">
        <v>481</v>
      </c>
      <c r="B111" s="73">
        <v>46134.0</v>
      </c>
      <c r="C111" s="91">
        <v>5.0E7</v>
      </c>
      <c r="D111" s="91">
        <v>4.0E7</v>
      </c>
      <c r="E111" s="76">
        <v>4.0E7</v>
      </c>
      <c r="F111" s="97">
        <f t="shared" si="11"/>
        <v>10000000</v>
      </c>
      <c r="G111" s="92" t="s">
        <v>15</v>
      </c>
      <c r="H111" s="75" t="s">
        <v>16</v>
      </c>
      <c r="I111" s="26">
        <f t="shared" si="12"/>
        <v>0.25</v>
      </c>
      <c r="J111" s="28"/>
    </row>
    <row r="112" ht="22.5" customHeight="1">
      <c r="A112" s="89" t="s">
        <v>486</v>
      </c>
      <c r="B112" s="73">
        <v>46134.0</v>
      </c>
      <c r="C112" s="91">
        <v>3.2E7</v>
      </c>
      <c r="D112" s="91">
        <v>2.5E7</v>
      </c>
      <c r="E112" s="76">
        <v>3.0E7</v>
      </c>
      <c r="F112" s="97">
        <f t="shared" si="11"/>
        <v>2000000</v>
      </c>
      <c r="G112" s="92" t="s">
        <v>15</v>
      </c>
      <c r="H112" s="75" t="s">
        <v>16</v>
      </c>
      <c r="I112" s="26">
        <f t="shared" si="12"/>
        <v>0.08</v>
      </c>
      <c r="J112" s="28"/>
    </row>
    <row r="113" ht="22.5" customHeight="1">
      <c r="A113" s="89" t="s">
        <v>489</v>
      </c>
      <c r="B113" s="73">
        <v>46134.0</v>
      </c>
      <c r="C113" s="91">
        <v>1.5E7</v>
      </c>
      <c r="D113" s="91">
        <v>1.0E7</v>
      </c>
      <c r="E113" s="76">
        <v>1.4E7</v>
      </c>
      <c r="F113" s="97">
        <f t="shared" si="11"/>
        <v>1000000</v>
      </c>
      <c r="G113" s="92" t="s">
        <v>15</v>
      </c>
      <c r="H113" s="75" t="s">
        <v>16</v>
      </c>
      <c r="I113" s="26">
        <f t="shared" si="12"/>
        <v>0.1</v>
      </c>
      <c r="J113" s="28"/>
    </row>
    <row r="114" ht="22.5" customHeight="1">
      <c r="A114" s="89" t="s">
        <v>495</v>
      </c>
      <c r="B114" s="73">
        <v>46134.0</v>
      </c>
      <c r="C114" s="91">
        <v>2.0E7</v>
      </c>
      <c r="D114" s="91">
        <v>1.5E7</v>
      </c>
      <c r="E114" s="76">
        <v>1.6E7</v>
      </c>
      <c r="F114" s="97">
        <f t="shared" si="11"/>
        <v>4000000</v>
      </c>
      <c r="G114" s="92" t="s">
        <v>15</v>
      </c>
      <c r="H114" s="75" t="s">
        <v>16</v>
      </c>
      <c r="I114" s="26">
        <f t="shared" si="12"/>
        <v>0.2666666667</v>
      </c>
      <c r="J114" s="28"/>
    </row>
    <row r="115" ht="22.5" customHeight="1">
      <c r="A115" s="89" t="s">
        <v>502</v>
      </c>
      <c r="B115" s="73">
        <v>46134.0</v>
      </c>
      <c r="C115" s="91">
        <v>1.4E7</v>
      </c>
      <c r="D115" s="91">
        <v>1.0E7</v>
      </c>
      <c r="E115" s="76">
        <v>1.2E7</v>
      </c>
      <c r="F115" s="97">
        <f t="shared" si="11"/>
        <v>2000000</v>
      </c>
      <c r="G115" s="92" t="s">
        <v>15</v>
      </c>
      <c r="H115" s="75" t="s">
        <v>16</v>
      </c>
      <c r="I115" s="26">
        <f t="shared" si="12"/>
        <v>0.2</v>
      </c>
      <c r="J115" s="28"/>
    </row>
    <row r="116" ht="22.5" customHeight="1">
      <c r="A116" s="89" t="s">
        <v>508</v>
      </c>
      <c r="B116" s="73">
        <v>46134.0</v>
      </c>
      <c r="C116" s="91">
        <v>3.0E7</v>
      </c>
      <c r="D116" s="91">
        <v>2.4E7</v>
      </c>
      <c r="E116" s="76">
        <v>2.7E7</v>
      </c>
      <c r="F116" s="97">
        <f t="shared" si="11"/>
        <v>3000000</v>
      </c>
      <c r="G116" s="92" t="s">
        <v>15</v>
      </c>
      <c r="H116" s="75" t="s">
        <v>16</v>
      </c>
      <c r="I116" s="26">
        <f t="shared" si="12"/>
        <v>0.125</v>
      </c>
      <c r="J116" s="28"/>
    </row>
    <row r="117" ht="22.5" customHeight="1">
      <c r="A117" s="89" t="s">
        <v>514</v>
      </c>
      <c r="B117" s="73">
        <v>46134.0</v>
      </c>
      <c r="C117" s="91">
        <v>5.0E7</v>
      </c>
      <c r="D117" s="91">
        <v>3.6E7</v>
      </c>
      <c r="E117" s="76">
        <v>4.0E7</v>
      </c>
      <c r="F117" s="97">
        <f t="shared" si="11"/>
        <v>10000000</v>
      </c>
      <c r="G117" s="92" t="s">
        <v>15</v>
      </c>
      <c r="H117" s="75" t="s">
        <v>16</v>
      </c>
      <c r="I117" s="26">
        <f t="shared" si="12"/>
        <v>0.2777777778</v>
      </c>
      <c r="J117" s="28"/>
    </row>
    <row r="118" ht="22.5" customHeight="1">
      <c r="A118" s="39" t="s">
        <v>518</v>
      </c>
      <c r="B118" s="106">
        <v>46134.0</v>
      </c>
      <c r="C118" s="107">
        <v>6.0E7</v>
      </c>
      <c r="D118" s="107">
        <v>4.5E7</v>
      </c>
      <c r="E118" s="76">
        <v>4.5E7</v>
      </c>
      <c r="F118" s="97">
        <f t="shared" si="11"/>
        <v>15000000</v>
      </c>
      <c r="G118" s="92" t="s">
        <v>15</v>
      </c>
      <c r="H118" s="75" t="s">
        <v>16</v>
      </c>
      <c r="I118" s="26">
        <f t="shared" si="12"/>
        <v>0.3333333333</v>
      </c>
      <c r="J118" s="28"/>
    </row>
    <row r="119" ht="22.5" customHeight="1">
      <c r="A119" s="89" t="s">
        <v>521</v>
      </c>
      <c r="B119" s="73">
        <v>46136.0</v>
      </c>
      <c r="C119" s="91">
        <v>3.5E7</v>
      </c>
      <c r="D119" s="91">
        <v>2.5E7</v>
      </c>
      <c r="E119" s="76">
        <v>3.5E7</v>
      </c>
      <c r="F119" s="97">
        <f t="shared" si="11"/>
        <v>0</v>
      </c>
      <c r="G119" s="92" t="s">
        <v>24</v>
      </c>
      <c r="H119" s="75" t="s">
        <v>16</v>
      </c>
      <c r="I119" s="26">
        <f t="shared" si="12"/>
        <v>0</v>
      </c>
      <c r="J119" s="75" t="s">
        <v>526</v>
      </c>
    </row>
    <row r="120" ht="22.5" customHeight="1">
      <c r="A120" s="89" t="s">
        <v>527</v>
      </c>
      <c r="B120" s="73">
        <v>46136.0</v>
      </c>
      <c r="C120" s="91">
        <v>1.7E7</v>
      </c>
      <c r="D120" s="91">
        <v>1.2E7</v>
      </c>
      <c r="E120" s="76">
        <v>1.7E7</v>
      </c>
      <c r="F120" s="97">
        <f t="shared" si="11"/>
        <v>0</v>
      </c>
      <c r="G120" s="92" t="s">
        <v>24</v>
      </c>
      <c r="H120" s="75" t="s">
        <v>16</v>
      </c>
      <c r="I120" s="26">
        <f t="shared" si="12"/>
        <v>0</v>
      </c>
      <c r="J120" s="75" t="s">
        <v>531</v>
      </c>
    </row>
    <row r="121" ht="22.5" customHeight="1">
      <c r="A121" s="89" t="s">
        <v>533</v>
      </c>
      <c r="B121" s="73">
        <v>46136.0</v>
      </c>
      <c r="C121" s="91">
        <v>5.1E7</v>
      </c>
      <c r="D121" s="91">
        <v>3.8E7</v>
      </c>
      <c r="E121" s="76">
        <v>4.5E7</v>
      </c>
      <c r="F121" s="97">
        <f t="shared" si="11"/>
        <v>6000000</v>
      </c>
      <c r="G121" s="92" t="s">
        <v>15</v>
      </c>
      <c r="H121" s="75" t="s">
        <v>16</v>
      </c>
      <c r="I121" s="26">
        <f t="shared" si="12"/>
        <v>0.1578947368</v>
      </c>
      <c r="J121" s="28"/>
    </row>
    <row r="122" ht="22.5" customHeight="1">
      <c r="A122" s="89" t="s">
        <v>538</v>
      </c>
      <c r="B122" s="73">
        <v>46136.0</v>
      </c>
      <c r="C122" s="91">
        <v>5.0E7</v>
      </c>
      <c r="D122" s="91">
        <v>3.8E7</v>
      </c>
      <c r="E122" s="76">
        <v>4.0E7</v>
      </c>
      <c r="F122" s="97">
        <f t="shared" si="11"/>
        <v>10000000</v>
      </c>
      <c r="G122" s="92" t="s">
        <v>15</v>
      </c>
      <c r="H122" s="75" t="s">
        <v>16</v>
      </c>
      <c r="I122" s="26">
        <f t="shared" si="12"/>
        <v>0.2631578947</v>
      </c>
      <c r="J122" s="28"/>
    </row>
    <row r="123" ht="22.5" customHeight="1">
      <c r="A123" s="89" t="s">
        <v>542</v>
      </c>
      <c r="B123" s="73">
        <v>46136.0</v>
      </c>
      <c r="C123" s="91">
        <v>4.0E7</v>
      </c>
      <c r="D123" s="91">
        <v>3.0E7</v>
      </c>
      <c r="E123" s="76">
        <v>3.6E7</v>
      </c>
      <c r="F123" s="97">
        <f t="shared" si="11"/>
        <v>4000000</v>
      </c>
      <c r="G123" s="92" t="s">
        <v>15</v>
      </c>
      <c r="H123" s="75" t="s">
        <v>16</v>
      </c>
      <c r="I123" s="26">
        <f t="shared" si="12"/>
        <v>0.1333333333</v>
      </c>
      <c r="J123" s="28"/>
    </row>
    <row r="124" ht="22.5" customHeight="1">
      <c r="A124" s="89" t="s">
        <v>545</v>
      </c>
      <c r="B124" s="73">
        <v>46136.0</v>
      </c>
      <c r="C124" s="91">
        <v>3.7E7</v>
      </c>
      <c r="D124" s="91">
        <v>3.0E7</v>
      </c>
      <c r="E124" s="76">
        <v>3.4E7</v>
      </c>
      <c r="F124" s="97">
        <f t="shared" si="11"/>
        <v>3000000</v>
      </c>
      <c r="G124" s="92" t="s">
        <v>15</v>
      </c>
      <c r="H124" s="75" t="s">
        <v>16</v>
      </c>
      <c r="I124" s="26">
        <f t="shared" si="12"/>
        <v>0.1</v>
      </c>
      <c r="J124" s="28"/>
    </row>
    <row r="125" ht="22.5" customHeight="1">
      <c r="A125" s="89" t="s">
        <v>549</v>
      </c>
      <c r="B125" s="73">
        <v>46136.0</v>
      </c>
      <c r="C125" s="91">
        <v>8.0E7</v>
      </c>
      <c r="D125" s="91">
        <v>5.5E7</v>
      </c>
      <c r="E125" s="76">
        <v>7.0E7</v>
      </c>
      <c r="F125" s="97">
        <f t="shared" si="11"/>
        <v>10000000</v>
      </c>
      <c r="G125" s="92" t="s">
        <v>15</v>
      </c>
      <c r="H125" s="75" t="s">
        <v>16</v>
      </c>
      <c r="I125" s="26">
        <f t="shared" si="12"/>
        <v>0.1818181818</v>
      </c>
      <c r="J125" s="28"/>
    </row>
    <row r="126" ht="22.5" customHeight="1">
      <c r="A126" s="39" t="s">
        <v>553</v>
      </c>
      <c r="B126" s="106">
        <v>46142.0</v>
      </c>
      <c r="C126" s="107">
        <v>6.5E7</v>
      </c>
      <c r="D126" s="107">
        <v>4.5E7</v>
      </c>
      <c r="E126" s="76">
        <v>5.5E7</v>
      </c>
      <c r="F126" s="97">
        <f t="shared" si="11"/>
        <v>10000000</v>
      </c>
      <c r="G126" s="92" t="s">
        <v>24</v>
      </c>
      <c r="H126" s="75" t="s">
        <v>16</v>
      </c>
      <c r="I126" s="26">
        <f t="shared" si="12"/>
        <v>0.2222222222</v>
      </c>
      <c r="J126" s="75" t="s">
        <v>559</v>
      </c>
    </row>
    <row r="127" ht="22.5" customHeight="1">
      <c r="A127" s="39" t="s">
        <v>560</v>
      </c>
      <c r="B127" s="106">
        <v>46142.0</v>
      </c>
      <c r="C127" s="107">
        <v>5.5E7</v>
      </c>
      <c r="D127" s="107">
        <v>4.0E7</v>
      </c>
      <c r="E127" s="76">
        <v>5.0E7</v>
      </c>
      <c r="F127" s="97">
        <f t="shared" si="11"/>
        <v>5000000</v>
      </c>
      <c r="G127" s="92" t="s">
        <v>15</v>
      </c>
      <c r="H127" s="75" t="s">
        <v>16</v>
      </c>
      <c r="I127" s="26">
        <f t="shared" si="12"/>
        <v>0.125</v>
      </c>
      <c r="J127" s="28"/>
    </row>
    <row r="128" ht="22.5" customHeight="1">
      <c r="A128" s="39" t="s">
        <v>565</v>
      </c>
      <c r="B128" s="106">
        <v>46142.0</v>
      </c>
      <c r="C128" s="107">
        <v>3.0E7</v>
      </c>
      <c r="D128" s="107">
        <v>2.0E7</v>
      </c>
      <c r="E128" s="76">
        <v>2.6E7</v>
      </c>
      <c r="F128" s="97">
        <f t="shared" si="11"/>
        <v>4000000</v>
      </c>
      <c r="G128" s="92" t="s">
        <v>15</v>
      </c>
      <c r="H128" s="75" t="s">
        <v>16</v>
      </c>
      <c r="I128" s="26">
        <f t="shared" si="12"/>
        <v>0.2</v>
      </c>
      <c r="J128" s="75" t="s">
        <v>569</v>
      </c>
    </row>
    <row r="129" ht="22.5" customHeight="1">
      <c r="A129" s="89" t="s">
        <v>570</v>
      </c>
      <c r="B129" s="113">
        <v>46148.0</v>
      </c>
      <c r="C129" s="91">
        <v>6.0E7</v>
      </c>
      <c r="D129" s="91">
        <v>5.0E7</v>
      </c>
      <c r="E129" s="76">
        <v>5.2E7</v>
      </c>
      <c r="F129" s="97">
        <f t="shared" si="11"/>
        <v>8000000</v>
      </c>
      <c r="G129" s="92" t="s">
        <v>15</v>
      </c>
      <c r="H129" s="75" t="s">
        <v>16</v>
      </c>
      <c r="I129" s="26">
        <f t="shared" si="12"/>
        <v>0.16</v>
      </c>
      <c r="J129" s="75"/>
    </row>
    <row r="130" ht="22.5" customHeight="1">
      <c r="A130" s="89" t="s">
        <v>577</v>
      </c>
      <c r="B130" s="113">
        <v>46148.0</v>
      </c>
      <c r="C130" s="91">
        <v>2.5E7</v>
      </c>
      <c r="D130" s="91">
        <v>2.0E7</v>
      </c>
      <c r="E130" s="76">
        <v>2.25E7</v>
      </c>
      <c r="F130" s="97">
        <f t="shared" si="11"/>
        <v>2500000</v>
      </c>
      <c r="G130" s="92" t="s">
        <v>15</v>
      </c>
      <c r="H130" s="75" t="s">
        <v>16</v>
      </c>
      <c r="I130" s="26">
        <f t="shared" si="12"/>
        <v>0.125</v>
      </c>
      <c r="J130" s="75"/>
    </row>
    <row r="131" ht="22.5" customHeight="1">
      <c r="A131" s="89" t="s">
        <v>579</v>
      </c>
      <c r="B131" s="113">
        <v>46148.0</v>
      </c>
      <c r="C131" s="91">
        <v>5.0E7</v>
      </c>
      <c r="D131" s="91">
        <v>3.8E7</v>
      </c>
      <c r="E131" s="76">
        <v>4.5E7</v>
      </c>
      <c r="F131" s="97">
        <f t="shared" si="11"/>
        <v>5000000</v>
      </c>
      <c r="G131" s="92" t="s">
        <v>15</v>
      </c>
      <c r="H131" s="75" t="s">
        <v>16</v>
      </c>
      <c r="I131" s="26">
        <f t="shared" si="12"/>
        <v>0.1315789474</v>
      </c>
      <c r="J131" s="75"/>
    </row>
    <row r="132" ht="22.5" customHeight="1">
      <c r="A132" s="89" t="s">
        <v>586</v>
      </c>
      <c r="B132" s="113">
        <v>46148.0</v>
      </c>
      <c r="C132" s="91">
        <v>7.5E7</v>
      </c>
      <c r="D132" s="91">
        <v>5.0E7</v>
      </c>
      <c r="E132" s="76">
        <v>5.75E7</v>
      </c>
      <c r="F132" s="97">
        <f t="shared" si="11"/>
        <v>17500000</v>
      </c>
      <c r="G132" s="92" t="s">
        <v>15</v>
      </c>
      <c r="H132" s="75" t="s">
        <v>16</v>
      </c>
      <c r="I132" s="26">
        <f t="shared" si="12"/>
        <v>0.35</v>
      </c>
      <c r="J132" s="75"/>
    </row>
    <row r="133" ht="22.5" customHeight="1">
      <c r="A133" s="89" t="s">
        <v>589</v>
      </c>
      <c r="B133" s="113">
        <v>46148.0</v>
      </c>
      <c r="C133" s="91">
        <v>3.5E7</v>
      </c>
      <c r="D133" s="91">
        <v>2.6E7</v>
      </c>
      <c r="E133" s="76">
        <v>3.5E7</v>
      </c>
      <c r="F133" s="97">
        <f t="shared" si="11"/>
        <v>0</v>
      </c>
      <c r="G133" s="92" t="s">
        <v>24</v>
      </c>
      <c r="H133" s="75" t="s">
        <v>16</v>
      </c>
      <c r="I133" s="26">
        <f t="shared" si="12"/>
        <v>0</v>
      </c>
      <c r="J133" s="75" t="s">
        <v>594</v>
      </c>
    </row>
    <row r="134" ht="22.5" customHeight="1">
      <c r="A134" s="89" t="s">
        <v>595</v>
      </c>
      <c r="B134" s="113">
        <v>46150.0</v>
      </c>
      <c r="C134" s="91">
        <v>3.25E7</v>
      </c>
      <c r="D134" s="91">
        <v>2.6E7</v>
      </c>
      <c r="E134" s="76">
        <v>3.25E7</v>
      </c>
      <c r="F134" s="97">
        <f t="shared" si="11"/>
        <v>0</v>
      </c>
      <c r="G134" s="92" t="s">
        <v>24</v>
      </c>
      <c r="H134" s="75" t="s">
        <v>16</v>
      </c>
      <c r="I134" s="26">
        <f t="shared" si="12"/>
        <v>0</v>
      </c>
      <c r="J134" s="75" t="s">
        <v>599</v>
      </c>
    </row>
    <row r="135" ht="22.5" customHeight="1">
      <c r="A135" s="89" t="s">
        <v>601</v>
      </c>
      <c r="B135" s="113">
        <v>46150.0</v>
      </c>
      <c r="C135" s="91">
        <v>8.5E7</v>
      </c>
      <c r="D135" s="91">
        <v>6.0E7</v>
      </c>
      <c r="E135" s="76">
        <v>6.2E7</v>
      </c>
      <c r="F135" s="97">
        <f t="shared" si="11"/>
        <v>23000000</v>
      </c>
      <c r="G135" s="92" t="s">
        <v>15</v>
      </c>
      <c r="H135" s="75" t="s">
        <v>16</v>
      </c>
      <c r="I135" s="26">
        <f t="shared" si="12"/>
        <v>0.3833333333</v>
      </c>
      <c r="J135" s="75"/>
    </row>
    <row r="136" ht="22.5" customHeight="1">
      <c r="A136" s="89" t="s">
        <v>606</v>
      </c>
      <c r="B136" s="113">
        <v>46150.0</v>
      </c>
      <c r="C136" s="91">
        <v>7.0E7</v>
      </c>
      <c r="D136" s="91">
        <v>5.0E7</v>
      </c>
      <c r="E136" s="76">
        <v>7.0E7</v>
      </c>
      <c r="F136" s="97">
        <f t="shared" si="11"/>
        <v>0</v>
      </c>
      <c r="G136" s="92" t="s">
        <v>24</v>
      </c>
      <c r="H136" s="75" t="s">
        <v>16</v>
      </c>
      <c r="I136" s="26">
        <f t="shared" si="12"/>
        <v>0</v>
      </c>
      <c r="J136" s="75" t="s">
        <v>610</v>
      </c>
    </row>
    <row r="137" ht="22.5" customHeight="1">
      <c r="A137" s="39" t="s">
        <v>613</v>
      </c>
      <c r="B137" s="119">
        <v>46150.0</v>
      </c>
      <c r="C137" s="107">
        <v>5.0E7</v>
      </c>
      <c r="D137" s="107">
        <v>3.6E7</v>
      </c>
      <c r="E137" s="76">
        <v>4.5E7</v>
      </c>
      <c r="F137" s="97">
        <f t="shared" si="11"/>
        <v>5000000</v>
      </c>
      <c r="G137" s="92" t="s">
        <v>15</v>
      </c>
      <c r="H137" s="75" t="s">
        <v>16</v>
      </c>
      <c r="I137" s="26">
        <f t="shared" si="12"/>
        <v>0.1388888889</v>
      </c>
      <c r="J137" s="75"/>
    </row>
    <row r="138" ht="22.5" customHeight="1">
      <c r="A138" s="89" t="s">
        <v>619</v>
      </c>
      <c r="B138" s="113">
        <v>46150.0</v>
      </c>
      <c r="C138" s="91">
        <v>7.5E7</v>
      </c>
      <c r="D138" s="91">
        <v>5.0E7</v>
      </c>
      <c r="E138" s="76">
        <v>6.5E7</v>
      </c>
      <c r="F138" s="97">
        <f t="shared" si="11"/>
        <v>10000000</v>
      </c>
      <c r="G138" s="92" t="s">
        <v>24</v>
      </c>
      <c r="H138" s="75" t="s">
        <v>16</v>
      </c>
      <c r="I138" s="26">
        <f t="shared" si="12"/>
        <v>0.2</v>
      </c>
      <c r="J138" s="75" t="s">
        <v>624</v>
      </c>
    </row>
    <row r="139" ht="22.5" customHeight="1">
      <c r="A139" s="89" t="s">
        <v>627</v>
      </c>
      <c r="B139" s="113">
        <v>46150.0</v>
      </c>
      <c r="C139" s="91">
        <v>4.5E7</v>
      </c>
      <c r="D139" s="91">
        <v>3.6E7</v>
      </c>
      <c r="E139" s="76">
        <v>4.0E7</v>
      </c>
      <c r="F139" s="97">
        <f t="shared" si="11"/>
        <v>5000000</v>
      </c>
      <c r="G139" s="92" t="s">
        <v>15</v>
      </c>
      <c r="H139" s="75" t="s">
        <v>16</v>
      </c>
      <c r="I139" s="26">
        <f t="shared" si="12"/>
        <v>0.1388888889</v>
      </c>
      <c r="J139" s="75"/>
    </row>
    <row r="140" ht="22.5" customHeight="1">
      <c r="A140" s="89" t="s">
        <v>634</v>
      </c>
      <c r="B140" s="113">
        <v>46150.0</v>
      </c>
      <c r="C140" s="91">
        <v>7.5E7</v>
      </c>
      <c r="D140" s="91">
        <v>5.5E7</v>
      </c>
      <c r="E140" s="76">
        <v>7.5E7</v>
      </c>
      <c r="F140" s="97">
        <f t="shared" si="11"/>
        <v>0</v>
      </c>
      <c r="G140" s="92" t="s">
        <v>38</v>
      </c>
      <c r="H140" s="75" t="s">
        <v>16</v>
      </c>
      <c r="I140" s="26">
        <f t="shared" si="12"/>
        <v>0</v>
      </c>
      <c r="J140" s="75" t="s">
        <v>637</v>
      </c>
    </row>
    <row r="141" ht="22.5" customHeight="1">
      <c r="A141" s="89" t="s">
        <v>640</v>
      </c>
      <c r="B141" s="113">
        <v>46150.0</v>
      </c>
      <c r="C141" s="91">
        <v>2.8E7</v>
      </c>
      <c r="D141" s="91">
        <v>2.3E7</v>
      </c>
      <c r="E141" s="76">
        <v>2.5E7</v>
      </c>
      <c r="F141" s="97">
        <f t="shared" si="11"/>
        <v>3000000</v>
      </c>
      <c r="G141" s="92" t="s">
        <v>15</v>
      </c>
      <c r="H141" s="75" t="s">
        <v>16</v>
      </c>
      <c r="I141" s="26">
        <f t="shared" si="12"/>
        <v>0.1304347826</v>
      </c>
      <c r="J141" s="75"/>
    </row>
    <row r="142" ht="22.5" customHeight="1">
      <c r="A142" s="89" t="s">
        <v>643</v>
      </c>
      <c r="B142" s="113">
        <v>46150.0</v>
      </c>
      <c r="C142" s="91">
        <v>2.0E7</v>
      </c>
      <c r="D142" s="91">
        <v>1.4E7</v>
      </c>
      <c r="E142" s="76">
        <v>1.6E7</v>
      </c>
      <c r="F142" s="97">
        <f t="shared" si="11"/>
        <v>4000000</v>
      </c>
      <c r="G142" s="92" t="s">
        <v>15</v>
      </c>
      <c r="H142" s="75" t="s">
        <v>16</v>
      </c>
      <c r="I142" s="26">
        <f t="shared" si="12"/>
        <v>0.2857142857</v>
      </c>
      <c r="J142" s="75"/>
    </row>
    <row r="143" ht="22.5" customHeight="1">
      <c r="A143" s="89" t="s">
        <v>646</v>
      </c>
      <c r="B143" s="113">
        <v>46150.0</v>
      </c>
      <c r="C143" s="91">
        <v>7.5E7</v>
      </c>
      <c r="D143" s="91">
        <v>5.0E7</v>
      </c>
      <c r="E143" s="76">
        <v>6.5E7</v>
      </c>
      <c r="F143" s="97">
        <f t="shared" si="11"/>
        <v>10000000</v>
      </c>
      <c r="G143" s="92" t="s">
        <v>15</v>
      </c>
      <c r="H143" s="75" t="s">
        <v>16</v>
      </c>
      <c r="I143" s="26">
        <f t="shared" si="12"/>
        <v>0.2</v>
      </c>
      <c r="J143" s="75"/>
    </row>
    <row r="144" ht="22.5" customHeight="1">
      <c r="A144" s="89" t="s">
        <v>652</v>
      </c>
      <c r="B144" s="113">
        <v>46150.0</v>
      </c>
      <c r="C144" s="91">
        <v>5.0E7</v>
      </c>
      <c r="D144" s="91">
        <v>3.8E7</v>
      </c>
      <c r="E144" s="76">
        <v>5.0E7</v>
      </c>
      <c r="F144" s="97">
        <f t="shared" si="11"/>
        <v>0</v>
      </c>
      <c r="G144" s="92" t="s">
        <v>24</v>
      </c>
      <c r="H144" s="75" t="s">
        <v>16</v>
      </c>
      <c r="I144" s="26">
        <f t="shared" si="12"/>
        <v>0</v>
      </c>
      <c r="J144" s="75" t="s">
        <v>661</v>
      </c>
    </row>
    <row r="145" ht="22.5" customHeight="1">
      <c r="A145" s="89" t="s">
        <v>662</v>
      </c>
      <c r="B145" s="122">
        <v>46164.0</v>
      </c>
      <c r="C145" s="91">
        <v>2.0E7</v>
      </c>
      <c r="D145" s="91">
        <v>1.5E7</v>
      </c>
      <c r="E145" s="76">
        <v>1.8E7</v>
      </c>
      <c r="F145" s="97">
        <f t="shared" si="11"/>
        <v>2000000</v>
      </c>
      <c r="G145" s="92" t="s">
        <v>15</v>
      </c>
      <c r="H145" s="75" t="s">
        <v>16</v>
      </c>
      <c r="I145" s="26">
        <f t="shared" si="12"/>
        <v>0.1333333333</v>
      </c>
      <c r="J145" s="75"/>
    </row>
    <row r="146" ht="22.5" customHeight="1">
      <c r="A146" s="89" t="s">
        <v>668</v>
      </c>
      <c r="B146" s="122">
        <v>46164.0</v>
      </c>
      <c r="C146" s="91">
        <v>6.0E7</v>
      </c>
      <c r="D146" s="91">
        <v>4.5E7</v>
      </c>
      <c r="E146" s="76">
        <v>6.0E7</v>
      </c>
      <c r="F146" s="97">
        <f t="shared" si="11"/>
        <v>0</v>
      </c>
      <c r="G146" s="92" t="s">
        <v>24</v>
      </c>
      <c r="H146" s="75" t="s">
        <v>16</v>
      </c>
      <c r="I146" s="26">
        <f t="shared" si="12"/>
        <v>0</v>
      </c>
      <c r="J146" s="75" t="s">
        <v>673</v>
      </c>
      <c r="L146" s="123" t="s">
        <v>675</v>
      </c>
    </row>
    <row r="147" ht="22.5" customHeight="1">
      <c r="A147" s="89" t="s">
        <v>676</v>
      </c>
      <c r="B147" s="122">
        <v>46164.0</v>
      </c>
      <c r="C147" s="91">
        <v>2.5E7</v>
      </c>
      <c r="D147" s="91">
        <v>1.8E7</v>
      </c>
      <c r="E147" s="76">
        <v>2.5E7</v>
      </c>
      <c r="F147" s="97">
        <f t="shared" si="11"/>
        <v>0</v>
      </c>
      <c r="G147" s="92" t="s">
        <v>24</v>
      </c>
      <c r="H147" s="75" t="s">
        <v>16</v>
      </c>
      <c r="I147" s="26">
        <f t="shared" si="12"/>
        <v>0</v>
      </c>
      <c r="J147" s="75" t="s">
        <v>682</v>
      </c>
    </row>
    <row r="148" ht="22.5" customHeight="1">
      <c r="A148" s="89" t="s">
        <v>683</v>
      </c>
      <c r="B148" s="122">
        <v>46164.0</v>
      </c>
      <c r="C148" s="91">
        <v>3.5E7</v>
      </c>
      <c r="D148" s="91">
        <v>2.8E7</v>
      </c>
      <c r="E148" s="76">
        <v>3.5E7</v>
      </c>
      <c r="F148" s="97">
        <f t="shared" si="11"/>
        <v>0</v>
      </c>
      <c r="G148" s="92" t="s">
        <v>24</v>
      </c>
      <c r="H148" s="75" t="s">
        <v>16</v>
      </c>
      <c r="I148" s="26">
        <f t="shared" si="12"/>
        <v>0</v>
      </c>
      <c r="J148" s="75" t="s">
        <v>687</v>
      </c>
    </row>
    <row r="149" ht="22.5" customHeight="1">
      <c r="A149" s="39" t="s">
        <v>688</v>
      </c>
      <c r="B149" s="124">
        <v>46167.0</v>
      </c>
      <c r="C149" s="107">
        <v>3.0E7</v>
      </c>
      <c r="D149" s="107">
        <v>2.4E7</v>
      </c>
      <c r="E149" s="76">
        <v>3.0E7</v>
      </c>
      <c r="F149" s="97">
        <f t="shared" si="11"/>
        <v>0</v>
      </c>
      <c r="G149" s="92" t="s">
        <v>24</v>
      </c>
      <c r="H149" s="75" t="s">
        <v>16</v>
      </c>
      <c r="I149" s="26">
        <f t="shared" si="12"/>
        <v>0</v>
      </c>
      <c r="J149" s="75" t="s">
        <v>692</v>
      </c>
    </row>
    <row r="150" ht="22.5" customHeight="1">
      <c r="A150" s="89" t="s">
        <v>695</v>
      </c>
      <c r="B150" s="122">
        <v>46170.0</v>
      </c>
      <c r="C150" s="91">
        <v>3.5E7</v>
      </c>
      <c r="D150" s="91">
        <v>2.8E7</v>
      </c>
      <c r="E150" s="76">
        <v>3.5E7</v>
      </c>
      <c r="F150" s="97">
        <f t="shared" si="11"/>
        <v>0</v>
      </c>
      <c r="G150" s="92" t="s">
        <v>15</v>
      </c>
      <c r="H150" s="75" t="s">
        <v>16</v>
      </c>
      <c r="I150" s="26">
        <f t="shared" si="12"/>
        <v>0</v>
      </c>
      <c r="J150" s="75"/>
    </row>
    <row r="151" ht="22.5" customHeight="1">
      <c r="A151" s="89" t="s">
        <v>698</v>
      </c>
      <c r="B151" s="122">
        <v>46170.0</v>
      </c>
      <c r="C151" s="91">
        <v>2.8E7</v>
      </c>
      <c r="D151" s="91">
        <v>2.0E7</v>
      </c>
      <c r="E151" s="76">
        <v>2.6E7</v>
      </c>
      <c r="F151" s="97">
        <f t="shared" si="11"/>
        <v>2000000</v>
      </c>
      <c r="G151" s="92" t="s">
        <v>15</v>
      </c>
      <c r="H151" s="75" t="s">
        <v>16</v>
      </c>
      <c r="I151" s="26">
        <f t="shared" si="12"/>
        <v>0.1</v>
      </c>
      <c r="J151" s="75"/>
    </row>
    <row r="152" ht="22.5" customHeight="1">
      <c r="A152" s="89" t="s">
        <v>701</v>
      </c>
      <c r="B152" s="122">
        <v>46170.0</v>
      </c>
      <c r="C152" s="91">
        <v>4.0E7</v>
      </c>
      <c r="D152" s="91">
        <v>3.0E7</v>
      </c>
      <c r="E152" s="76">
        <v>2.0E7</v>
      </c>
      <c r="F152" s="97">
        <f t="shared" si="11"/>
        <v>20000000</v>
      </c>
      <c r="G152" s="92" t="s">
        <v>15</v>
      </c>
      <c r="H152" s="75" t="s">
        <v>16</v>
      </c>
      <c r="I152" s="26">
        <f t="shared" si="12"/>
        <v>0.6666666667</v>
      </c>
      <c r="J152" s="75"/>
    </row>
    <row r="153" ht="22.5" customHeight="1">
      <c r="A153" s="89" t="s">
        <v>707</v>
      </c>
      <c r="B153" s="122">
        <v>46170.0</v>
      </c>
      <c r="C153" s="91">
        <v>1.4E7</v>
      </c>
      <c r="D153" s="91">
        <v>1.0E7</v>
      </c>
      <c r="E153" s="76">
        <v>1.2E7</v>
      </c>
      <c r="F153" s="97">
        <f t="shared" si="11"/>
        <v>2000000</v>
      </c>
      <c r="G153" s="92" t="s">
        <v>15</v>
      </c>
      <c r="H153" s="75" t="s">
        <v>16</v>
      </c>
      <c r="I153" s="26">
        <f t="shared" si="12"/>
        <v>0.2</v>
      </c>
      <c r="J153" s="75"/>
    </row>
    <row r="154" ht="22.5" customHeight="1">
      <c r="A154" s="89" t="s">
        <v>709</v>
      </c>
      <c r="B154" s="122">
        <v>46170.0</v>
      </c>
      <c r="C154" s="91">
        <v>5.0E7</v>
      </c>
      <c r="D154" s="91">
        <v>4.0E7</v>
      </c>
      <c r="E154" s="76">
        <v>4.2E7</v>
      </c>
      <c r="F154" s="97">
        <f t="shared" si="11"/>
        <v>8000000</v>
      </c>
      <c r="G154" s="92" t="s">
        <v>15</v>
      </c>
      <c r="H154" s="75" t="s">
        <v>16</v>
      </c>
      <c r="I154" s="26">
        <f t="shared" si="12"/>
        <v>0.2</v>
      </c>
      <c r="J154" s="75"/>
    </row>
    <row r="155" ht="22.5" customHeight="1">
      <c r="A155" s="89" t="s">
        <v>713</v>
      </c>
      <c r="B155" s="122">
        <v>46170.0</v>
      </c>
      <c r="C155" s="91">
        <v>4.5E7</v>
      </c>
      <c r="D155" s="91">
        <v>3.8E7</v>
      </c>
      <c r="E155" s="76">
        <v>4.0E7</v>
      </c>
      <c r="F155" s="97">
        <f t="shared" si="11"/>
        <v>5000000</v>
      </c>
      <c r="G155" s="92" t="s">
        <v>15</v>
      </c>
      <c r="H155" s="75" t="s">
        <v>16</v>
      </c>
      <c r="I155" s="26">
        <f t="shared" si="12"/>
        <v>0.1315789474</v>
      </c>
      <c r="J155" s="75"/>
    </row>
    <row r="156" ht="22.5" customHeight="1">
      <c r="A156" s="89" t="s">
        <v>718</v>
      </c>
      <c r="B156" s="122">
        <v>46170.0</v>
      </c>
      <c r="C156" s="91">
        <v>3.7E7</v>
      </c>
      <c r="D156" s="91">
        <v>2.8E7</v>
      </c>
      <c r="E156" s="76">
        <v>3.5E7</v>
      </c>
      <c r="F156" s="97">
        <f t="shared" si="11"/>
        <v>2000000</v>
      </c>
      <c r="G156" s="92" t="s">
        <v>15</v>
      </c>
      <c r="H156" s="75" t="s">
        <v>16</v>
      </c>
      <c r="I156" s="26">
        <f t="shared" si="12"/>
        <v>0.07142857143</v>
      </c>
      <c r="J156" s="75"/>
    </row>
    <row r="157" ht="22.5" customHeight="1">
      <c r="A157" s="89" t="s">
        <v>721</v>
      </c>
      <c r="B157" s="122">
        <v>46170.0</v>
      </c>
      <c r="C157" s="91">
        <v>3.0E7</v>
      </c>
      <c r="D157" s="91">
        <v>2.4E7</v>
      </c>
      <c r="E157" s="76">
        <v>2.4E7</v>
      </c>
      <c r="F157" s="97">
        <f t="shared" si="11"/>
        <v>6000000</v>
      </c>
      <c r="G157" s="92" t="s">
        <v>15</v>
      </c>
      <c r="H157" s="75" t="s">
        <v>16</v>
      </c>
      <c r="I157" s="26">
        <f t="shared" si="12"/>
        <v>0.25</v>
      </c>
      <c r="J157" s="75"/>
    </row>
    <row r="158" ht="22.5" customHeight="1">
      <c r="A158" s="89" t="s">
        <v>726</v>
      </c>
      <c r="B158" s="122">
        <v>46172.0</v>
      </c>
      <c r="C158" s="91">
        <v>3.8E7</v>
      </c>
      <c r="D158" s="91">
        <v>3.0E7</v>
      </c>
      <c r="E158" s="76">
        <v>3.2E7</v>
      </c>
      <c r="F158" s="97">
        <f t="shared" si="11"/>
        <v>6000000</v>
      </c>
      <c r="G158" s="92" t="s">
        <v>15</v>
      </c>
      <c r="H158" s="75" t="s">
        <v>16</v>
      </c>
      <c r="I158" s="26">
        <f t="shared" si="12"/>
        <v>0.2</v>
      </c>
      <c r="J158" s="75"/>
    </row>
    <row r="159" ht="22.5" customHeight="1">
      <c r="A159" s="89" t="s">
        <v>729</v>
      </c>
      <c r="B159" s="122">
        <v>46172.0</v>
      </c>
      <c r="C159" s="91">
        <v>1.7E7</v>
      </c>
      <c r="D159" s="91">
        <v>1.3E7</v>
      </c>
      <c r="E159" s="76">
        <v>1.7E7</v>
      </c>
      <c r="F159" s="97">
        <f t="shared" si="11"/>
        <v>0</v>
      </c>
      <c r="G159" s="92" t="s">
        <v>15</v>
      </c>
      <c r="H159" s="75" t="s">
        <v>16</v>
      </c>
      <c r="I159" s="26">
        <f t="shared" si="12"/>
        <v>0</v>
      </c>
      <c r="J159" s="75"/>
    </row>
    <row r="160" ht="22.5" customHeight="1">
      <c r="A160" s="89" t="s">
        <v>731</v>
      </c>
      <c r="B160" s="122">
        <v>46172.0</v>
      </c>
      <c r="C160" s="91">
        <v>1.52E7</v>
      </c>
      <c r="D160" s="91">
        <v>1.2E7</v>
      </c>
      <c r="E160" s="76">
        <v>1.5E7</v>
      </c>
      <c r="F160" s="97">
        <f t="shared" si="11"/>
        <v>200000</v>
      </c>
      <c r="G160" s="92" t="s">
        <v>15</v>
      </c>
      <c r="H160" s="75" t="s">
        <v>16</v>
      </c>
      <c r="I160" s="26">
        <f t="shared" si="12"/>
        <v>0.01666666667</v>
      </c>
      <c r="J160" s="75"/>
    </row>
    <row r="161" ht="22.5" customHeight="1">
      <c r="A161" s="89" t="s">
        <v>736</v>
      </c>
      <c r="B161" s="122">
        <v>46172.0</v>
      </c>
      <c r="C161" s="91">
        <v>7.5E7</v>
      </c>
      <c r="D161" s="91">
        <v>5.0E7</v>
      </c>
      <c r="E161" s="76">
        <v>7.4E7</v>
      </c>
      <c r="F161" s="97">
        <f t="shared" si="11"/>
        <v>1000000</v>
      </c>
      <c r="G161" s="92" t="s">
        <v>24</v>
      </c>
      <c r="H161" s="75" t="s">
        <v>16</v>
      </c>
      <c r="I161" s="26">
        <f t="shared" si="12"/>
        <v>0.02</v>
      </c>
      <c r="J161" s="75" t="s">
        <v>740</v>
      </c>
    </row>
    <row r="162" ht="22.5" customHeight="1">
      <c r="A162" s="89" t="s">
        <v>742</v>
      </c>
      <c r="B162" s="122">
        <v>46172.0</v>
      </c>
      <c r="C162" s="91">
        <v>6.5E7</v>
      </c>
      <c r="D162" s="91">
        <v>5.0E7</v>
      </c>
      <c r="E162" s="76">
        <v>6.5E7</v>
      </c>
      <c r="F162" s="97">
        <f t="shared" si="11"/>
        <v>0</v>
      </c>
      <c r="G162" s="92" t="s">
        <v>24</v>
      </c>
      <c r="H162" s="75" t="s">
        <v>16</v>
      </c>
      <c r="I162" s="26">
        <f t="shared" si="12"/>
        <v>0</v>
      </c>
      <c r="J162" s="75"/>
    </row>
    <row r="163" ht="22.5" customHeight="1">
      <c r="A163" s="89" t="s">
        <v>745</v>
      </c>
      <c r="B163" s="122">
        <v>46172.0</v>
      </c>
      <c r="C163" s="91">
        <v>2.6E7</v>
      </c>
      <c r="D163" s="91">
        <v>2.0E7</v>
      </c>
      <c r="E163" s="76">
        <v>2.6E7</v>
      </c>
      <c r="F163" s="97">
        <f t="shared" si="11"/>
        <v>0</v>
      </c>
      <c r="G163" s="92" t="s">
        <v>15</v>
      </c>
      <c r="H163" s="75" t="s">
        <v>16</v>
      </c>
      <c r="I163" s="26">
        <f t="shared" si="12"/>
        <v>0</v>
      </c>
      <c r="J163" s="75"/>
    </row>
    <row r="164" ht="22.5" customHeight="1">
      <c r="A164" s="89" t="s">
        <v>748</v>
      </c>
      <c r="B164" s="122">
        <v>46172.0</v>
      </c>
      <c r="C164" s="91">
        <v>7.0E7</v>
      </c>
      <c r="D164" s="91">
        <v>5.0E7</v>
      </c>
      <c r="E164" s="76">
        <v>6.6E7</v>
      </c>
      <c r="F164" s="97">
        <f t="shared" si="11"/>
        <v>4000000</v>
      </c>
      <c r="G164" s="92" t="s">
        <v>24</v>
      </c>
      <c r="H164" s="75" t="s">
        <v>16</v>
      </c>
      <c r="I164" s="26">
        <f t="shared" si="12"/>
        <v>0.08</v>
      </c>
      <c r="J164" s="75" t="s">
        <v>673</v>
      </c>
    </row>
    <row r="165" ht="22.5" customHeight="1">
      <c r="A165" s="89" t="s">
        <v>751</v>
      </c>
      <c r="B165" s="73">
        <v>46184.0</v>
      </c>
      <c r="C165" s="91">
        <v>3.8E7</v>
      </c>
      <c r="D165" s="91">
        <v>3.0E7</v>
      </c>
      <c r="E165" s="76">
        <v>3.8E7</v>
      </c>
      <c r="F165" s="97">
        <f t="shared" si="11"/>
        <v>0</v>
      </c>
      <c r="G165" s="92" t="s">
        <v>24</v>
      </c>
      <c r="H165" s="75" t="s">
        <v>16</v>
      </c>
      <c r="I165" s="26">
        <f t="shared" si="12"/>
        <v>0</v>
      </c>
      <c r="J165" s="75" t="s">
        <v>673</v>
      </c>
    </row>
    <row r="166" ht="22.5" customHeight="1">
      <c r="A166" s="89" t="s">
        <v>753</v>
      </c>
      <c r="B166" s="73">
        <v>46184.0</v>
      </c>
      <c r="C166" s="91">
        <v>4.2E7</v>
      </c>
      <c r="D166" s="91">
        <v>3.4E7</v>
      </c>
      <c r="E166" s="76">
        <v>3.3E7</v>
      </c>
      <c r="F166" s="97">
        <f t="shared" si="11"/>
        <v>9000000</v>
      </c>
      <c r="G166" s="92" t="s">
        <v>15</v>
      </c>
      <c r="H166" s="75" t="s">
        <v>16</v>
      </c>
      <c r="I166" s="26">
        <f t="shared" si="12"/>
        <v>0.2647058824</v>
      </c>
      <c r="J166" s="75"/>
    </row>
    <row r="167" ht="22.5" customHeight="1">
      <c r="A167" s="89" t="s">
        <v>756</v>
      </c>
      <c r="B167" s="73">
        <v>46184.0</v>
      </c>
      <c r="C167" s="91">
        <v>1.8E7</v>
      </c>
      <c r="D167" s="91">
        <v>1.2E7</v>
      </c>
      <c r="E167" s="76">
        <v>1.8E7</v>
      </c>
      <c r="F167" s="97">
        <f t="shared" si="11"/>
        <v>0</v>
      </c>
      <c r="G167" s="92" t="s">
        <v>15</v>
      </c>
      <c r="H167" s="75" t="s">
        <v>16</v>
      </c>
      <c r="I167" s="26">
        <f t="shared" si="12"/>
        <v>0</v>
      </c>
      <c r="J167" s="75"/>
    </row>
    <row r="168" ht="22.5" customHeight="1">
      <c r="A168" s="89" t="s">
        <v>760</v>
      </c>
      <c r="B168" s="73">
        <v>46184.0</v>
      </c>
      <c r="C168" s="91">
        <v>2.5E7</v>
      </c>
      <c r="D168" s="91">
        <v>1.8E7</v>
      </c>
      <c r="E168" s="76">
        <v>2.1E7</v>
      </c>
      <c r="F168" s="97">
        <f t="shared" si="11"/>
        <v>4000000</v>
      </c>
      <c r="G168" s="92" t="s">
        <v>15</v>
      </c>
      <c r="H168" s="75" t="s">
        <v>16</v>
      </c>
      <c r="I168" s="26">
        <f t="shared" si="12"/>
        <v>0.2222222222</v>
      </c>
      <c r="J168" s="75"/>
    </row>
    <row r="169" ht="22.5" customHeight="1">
      <c r="A169" s="89" t="s">
        <v>764</v>
      </c>
      <c r="B169" s="73">
        <v>46184.0</v>
      </c>
      <c r="C169" s="91">
        <v>2.2E7</v>
      </c>
      <c r="D169" s="91">
        <v>1.6E7</v>
      </c>
      <c r="E169" s="76">
        <v>2.0E7</v>
      </c>
      <c r="F169" s="97">
        <f t="shared" si="11"/>
        <v>2000000</v>
      </c>
      <c r="G169" s="92" t="s">
        <v>15</v>
      </c>
      <c r="H169" s="75" t="s">
        <v>16</v>
      </c>
      <c r="I169" s="26">
        <f t="shared" si="12"/>
        <v>0.125</v>
      </c>
      <c r="J169" s="75"/>
    </row>
    <row r="170" ht="22.5" customHeight="1">
      <c r="A170" s="89" t="s">
        <v>769</v>
      </c>
      <c r="B170" s="73">
        <v>46184.0</v>
      </c>
      <c r="C170" s="91">
        <v>4.5E7</v>
      </c>
      <c r="D170" s="91">
        <v>3.5E7</v>
      </c>
      <c r="E170" s="76">
        <v>4.0E7</v>
      </c>
      <c r="F170" s="97">
        <f t="shared" si="11"/>
        <v>5000000</v>
      </c>
      <c r="G170" s="92" t="s">
        <v>15</v>
      </c>
      <c r="H170" s="75" t="s">
        <v>16</v>
      </c>
      <c r="I170" s="26">
        <f t="shared" si="12"/>
        <v>0.1428571429</v>
      </c>
      <c r="J170" s="75"/>
    </row>
    <row r="171" ht="22.5" customHeight="1">
      <c r="A171" s="89" t="s">
        <v>775</v>
      </c>
      <c r="B171" s="73">
        <v>46184.0</v>
      </c>
      <c r="C171" s="91">
        <v>6.0E7</v>
      </c>
      <c r="D171" s="91">
        <v>5.5E7</v>
      </c>
      <c r="E171" s="76">
        <v>5.75E7</v>
      </c>
      <c r="F171" s="97">
        <f t="shared" si="11"/>
        <v>2500000</v>
      </c>
      <c r="G171" s="92" t="s">
        <v>24</v>
      </c>
      <c r="H171" s="75" t="s">
        <v>16</v>
      </c>
      <c r="I171" s="26">
        <f t="shared" si="12"/>
        <v>0.04545454545</v>
      </c>
      <c r="J171" s="75" t="s">
        <v>449</v>
      </c>
    </row>
    <row r="172" ht="22.5" customHeight="1">
      <c r="A172" s="89" t="s">
        <v>779</v>
      </c>
      <c r="B172" s="73">
        <v>46184.0</v>
      </c>
      <c r="C172" s="91">
        <v>3.5E7</v>
      </c>
      <c r="D172" s="91">
        <v>2.7E7</v>
      </c>
      <c r="E172" s="76">
        <v>3.2E7</v>
      </c>
      <c r="F172" s="97">
        <f t="shared" si="11"/>
        <v>3000000</v>
      </c>
      <c r="G172" s="92" t="s">
        <v>15</v>
      </c>
      <c r="H172" s="75" t="s">
        <v>16</v>
      </c>
      <c r="I172" s="26">
        <f t="shared" si="12"/>
        <v>0.1111111111</v>
      </c>
      <c r="J172" s="75"/>
    </row>
    <row r="173" ht="22.5" customHeight="1">
      <c r="A173" s="89" t="s">
        <v>782</v>
      </c>
      <c r="B173" s="73">
        <v>46184.0</v>
      </c>
      <c r="C173" s="91">
        <v>2.5E7</v>
      </c>
      <c r="D173" s="91">
        <v>2.0E7</v>
      </c>
      <c r="E173" s="76">
        <v>2.1E7</v>
      </c>
      <c r="F173" s="97">
        <f t="shared" si="11"/>
        <v>4000000</v>
      </c>
      <c r="G173" s="92" t="s">
        <v>15</v>
      </c>
      <c r="H173" s="75" t="s">
        <v>16</v>
      </c>
      <c r="I173" s="26">
        <f t="shared" si="12"/>
        <v>0.2</v>
      </c>
      <c r="J173" s="75"/>
    </row>
    <row r="174" ht="22.5" customHeight="1">
      <c r="A174" s="89" t="s">
        <v>785</v>
      </c>
      <c r="B174" s="73">
        <v>46184.0</v>
      </c>
      <c r="C174" s="91">
        <v>6.0E7</v>
      </c>
      <c r="D174" s="91">
        <v>4.0E7</v>
      </c>
      <c r="E174" s="76">
        <v>4.6E7</v>
      </c>
      <c r="F174" s="97">
        <f t="shared" si="11"/>
        <v>14000000</v>
      </c>
      <c r="G174" s="92" t="s">
        <v>15</v>
      </c>
      <c r="H174" s="75" t="s">
        <v>16</v>
      </c>
      <c r="I174" s="26">
        <f t="shared" si="12"/>
        <v>0.35</v>
      </c>
      <c r="J174" s="75"/>
    </row>
    <row r="175" ht="22.5" customHeight="1">
      <c r="A175" s="89" t="s">
        <v>789</v>
      </c>
      <c r="B175" s="73">
        <v>46184.0</v>
      </c>
      <c r="C175" s="91">
        <v>9.5E7</v>
      </c>
      <c r="D175" s="91">
        <v>7.0E7</v>
      </c>
      <c r="E175" s="76">
        <v>9.5E7</v>
      </c>
      <c r="F175" s="97">
        <f t="shared" si="11"/>
        <v>0</v>
      </c>
      <c r="G175" s="92" t="s">
        <v>24</v>
      </c>
      <c r="H175" s="75" t="s">
        <v>16</v>
      </c>
      <c r="I175" s="26">
        <f t="shared" si="12"/>
        <v>0</v>
      </c>
      <c r="J175" s="75" t="s">
        <v>673</v>
      </c>
    </row>
    <row r="176" ht="22.5" customHeight="1">
      <c r="A176" s="39" t="s">
        <v>795</v>
      </c>
      <c r="B176" s="106">
        <v>46184.0</v>
      </c>
      <c r="C176" s="107">
        <v>3.5E7</v>
      </c>
      <c r="D176" s="107">
        <v>2.8E7</v>
      </c>
      <c r="E176" s="76">
        <v>3.5E7</v>
      </c>
      <c r="F176" s="97">
        <f t="shared" si="11"/>
        <v>0</v>
      </c>
      <c r="G176" s="92" t="s">
        <v>24</v>
      </c>
      <c r="H176" s="75" t="s">
        <v>16</v>
      </c>
      <c r="I176" s="26">
        <f t="shared" si="12"/>
        <v>0</v>
      </c>
      <c r="J176" s="75" t="s">
        <v>673</v>
      </c>
    </row>
    <row r="177" ht="22.5" customHeight="1">
      <c r="A177" s="89" t="s">
        <v>800</v>
      </c>
      <c r="B177" s="73">
        <v>46186.0</v>
      </c>
      <c r="C177" s="91">
        <v>3.5E7</v>
      </c>
      <c r="D177" s="91">
        <v>2.8E7</v>
      </c>
      <c r="E177" s="76">
        <v>3.0E7</v>
      </c>
      <c r="F177" s="93">
        <f t="shared" si="11"/>
        <v>5000000</v>
      </c>
      <c r="G177" s="92" t="s">
        <v>15</v>
      </c>
      <c r="H177" s="75" t="s">
        <v>16</v>
      </c>
      <c r="I177" s="26">
        <f t="shared" si="12"/>
        <v>0.1785714286</v>
      </c>
      <c r="J177" s="75"/>
    </row>
    <row r="178" ht="22.5" customHeight="1">
      <c r="A178" s="89" t="s">
        <v>804</v>
      </c>
      <c r="B178" s="73">
        <v>46186.0</v>
      </c>
      <c r="C178" s="91">
        <v>3.5E7</v>
      </c>
      <c r="D178" s="91">
        <v>2.8E7</v>
      </c>
      <c r="E178" s="76">
        <v>3.0E7</v>
      </c>
      <c r="F178" s="93">
        <f t="shared" si="11"/>
        <v>5000000</v>
      </c>
      <c r="G178" s="92" t="s">
        <v>15</v>
      </c>
      <c r="H178" s="75" t="s">
        <v>16</v>
      </c>
      <c r="I178" s="26">
        <f t="shared" si="12"/>
        <v>0.1785714286</v>
      </c>
      <c r="J178" s="75"/>
    </row>
    <row r="179" ht="22.5" customHeight="1">
      <c r="A179" s="89" t="s">
        <v>808</v>
      </c>
      <c r="B179" s="73">
        <v>46186.0</v>
      </c>
      <c r="C179" s="91">
        <v>5.0E7</v>
      </c>
      <c r="D179" s="91">
        <v>3.8E7</v>
      </c>
      <c r="E179" s="76">
        <v>4.2E7</v>
      </c>
      <c r="F179" s="93">
        <f t="shared" si="11"/>
        <v>8000000</v>
      </c>
      <c r="G179" s="92" t="s">
        <v>15</v>
      </c>
      <c r="H179" s="75" t="s">
        <v>16</v>
      </c>
      <c r="I179" s="26">
        <f t="shared" si="12"/>
        <v>0.2105263158</v>
      </c>
      <c r="J179" s="75"/>
    </row>
    <row r="180" ht="22.5" customHeight="1">
      <c r="A180" s="89" t="s">
        <v>812</v>
      </c>
      <c r="B180" s="73">
        <v>46186.0</v>
      </c>
      <c r="C180" s="91">
        <v>4.5E7</v>
      </c>
      <c r="D180" s="91">
        <v>3.6E7</v>
      </c>
      <c r="E180" s="76">
        <v>4.5E7</v>
      </c>
      <c r="F180" s="93">
        <f t="shared" si="11"/>
        <v>0</v>
      </c>
      <c r="G180" s="92" t="s">
        <v>24</v>
      </c>
      <c r="H180" s="75" t="s">
        <v>16</v>
      </c>
      <c r="I180" s="26">
        <f t="shared" si="12"/>
        <v>0</v>
      </c>
      <c r="J180" s="75" t="s">
        <v>814</v>
      </c>
    </row>
    <row r="181" ht="22.5" customHeight="1">
      <c r="A181" s="89" t="s">
        <v>816</v>
      </c>
      <c r="B181" s="73">
        <v>46186.0</v>
      </c>
      <c r="C181" s="91">
        <v>3.0E7</v>
      </c>
      <c r="D181" s="91">
        <v>2.2E7</v>
      </c>
      <c r="E181" s="76">
        <v>3.0E7</v>
      </c>
      <c r="F181" s="93">
        <f t="shared" si="11"/>
        <v>0</v>
      </c>
      <c r="G181" s="92" t="s">
        <v>24</v>
      </c>
      <c r="H181" s="75" t="s">
        <v>16</v>
      </c>
      <c r="I181" s="26">
        <f t="shared" si="12"/>
        <v>0</v>
      </c>
      <c r="J181" s="75" t="s">
        <v>819</v>
      </c>
    </row>
    <row r="182" ht="22.5" customHeight="1">
      <c r="A182" s="89" t="s">
        <v>821</v>
      </c>
      <c r="B182" s="73">
        <v>46186.0</v>
      </c>
      <c r="C182" s="91">
        <v>5.0E7</v>
      </c>
      <c r="D182" s="91">
        <v>3.8E7</v>
      </c>
      <c r="E182" s="76">
        <v>4.8E7</v>
      </c>
      <c r="F182" s="93">
        <f t="shared" si="11"/>
        <v>2000000</v>
      </c>
      <c r="G182" s="92" t="s">
        <v>15</v>
      </c>
      <c r="H182" s="75" t="s">
        <v>16</v>
      </c>
      <c r="I182" s="26">
        <f t="shared" si="12"/>
        <v>0.05263157895</v>
      </c>
      <c r="J182" s="75"/>
    </row>
    <row r="183" ht="22.5" customHeight="1">
      <c r="A183" s="89" t="s">
        <v>825</v>
      </c>
      <c r="B183" s="73">
        <v>46186.0</v>
      </c>
      <c r="C183" s="91">
        <v>1.2E8</v>
      </c>
      <c r="D183" s="91">
        <v>5.0E7</v>
      </c>
      <c r="E183" s="76">
        <v>9.0E7</v>
      </c>
      <c r="F183" s="93">
        <f t="shared" si="11"/>
        <v>30000000</v>
      </c>
      <c r="G183" s="92" t="s">
        <v>24</v>
      </c>
      <c r="H183" s="75" t="s">
        <v>16</v>
      </c>
      <c r="I183" s="26">
        <f t="shared" si="12"/>
        <v>0.6</v>
      </c>
      <c r="J183" s="75" t="s">
        <v>828</v>
      </c>
    </row>
    <row r="184" ht="22.5" customHeight="1">
      <c r="A184" s="89" t="s">
        <v>831</v>
      </c>
      <c r="B184" s="73">
        <v>46186.0</v>
      </c>
      <c r="C184" s="91">
        <v>4.0E7</v>
      </c>
      <c r="D184" s="91">
        <v>3.0E7</v>
      </c>
      <c r="E184" s="76">
        <v>4.0E7</v>
      </c>
      <c r="F184" s="93">
        <f t="shared" si="11"/>
        <v>0</v>
      </c>
      <c r="G184" s="92" t="s">
        <v>24</v>
      </c>
      <c r="H184" s="75" t="s">
        <v>16</v>
      </c>
      <c r="I184" s="26">
        <f t="shared" si="12"/>
        <v>0</v>
      </c>
      <c r="J184" s="75" t="s">
        <v>692</v>
      </c>
    </row>
    <row r="185" ht="22.5" customHeight="1">
      <c r="A185" s="89" t="s">
        <v>835</v>
      </c>
      <c r="B185" s="73">
        <v>46186.0</v>
      </c>
      <c r="C185" s="91">
        <v>5.0E7</v>
      </c>
      <c r="D185" s="91">
        <v>4.0E7</v>
      </c>
      <c r="E185" s="76">
        <v>4.0E7</v>
      </c>
      <c r="F185" s="93">
        <f t="shared" si="11"/>
        <v>10000000</v>
      </c>
      <c r="G185" s="92" t="s">
        <v>15</v>
      </c>
      <c r="H185" s="75" t="s">
        <v>16</v>
      </c>
      <c r="I185" s="26">
        <f t="shared" si="12"/>
        <v>0.25</v>
      </c>
      <c r="J185" s="75"/>
    </row>
    <row r="186" ht="22.5" customHeight="1">
      <c r="A186" s="89" t="s">
        <v>838</v>
      </c>
      <c r="B186" s="73">
        <v>46193.0</v>
      </c>
      <c r="C186" s="91">
        <v>5.0E7</v>
      </c>
      <c r="D186" s="91">
        <v>4.0E7</v>
      </c>
      <c r="E186" s="76">
        <v>4.2E7</v>
      </c>
      <c r="F186" s="93">
        <f t="shared" si="11"/>
        <v>8000000</v>
      </c>
      <c r="G186" s="92" t="s">
        <v>15</v>
      </c>
      <c r="H186" s="75" t="s">
        <v>16</v>
      </c>
      <c r="I186" s="26">
        <f t="shared" si="12"/>
        <v>0.2</v>
      </c>
      <c r="J186" s="75" t="s">
        <v>840</v>
      </c>
    </row>
    <row r="187" ht="22.5" customHeight="1">
      <c r="A187" s="89" t="s">
        <v>842</v>
      </c>
      <c r="B187" s="73">
        <v>46193.0</v>
      </c>
      <c r="C187" s="91">
        <v>1.2E8</v>
      </c>
      <c r="D187" s="91">
        <v>7.5E7</v>
      </c>
      <c r="E187" s="76">
        <v>9.0E7</v>
      </c>
      <c r="F187" s="93">
        <f t="shared" si="11"/>
        <v>30000000</v>
      </c>
      <c r="G187" s="92" t="s">
        <v>38</v>
      </c>
      <c r="H187" s="75" t="s">
        <v>16</v>
      </c>
      <c r="I187" s="26">
        <f t="shared" si="12"/>
        <v>0.4</v>
      </c>
      <c r="J187" s="75" t="s">
        <v>846</v>
      </c>
    </row>
    <row r="188" ht="22.5" customHeight="1">
      <c r="A188" s="89" t="s">
        <v>848</v>
      </c>
      <c r="B188" s="73">
        <v>46193.0</v>
      </c>
      <c r="C188" s="91">
        <v>3.7E7</v>
      </c>
      <c r="D188" s="91">
        <v>3.0E7</v>
      </c>
      <c r="E188" s="76">
        <v>3.5E7</v>
      </c>
      <c r="F188" s="93">
        <f t="shared" si="11"/>
        <v>2000000</v>
      </c>
      <c r="G188" s="92" t="s">
        <v>15</v>
      </c>
      <c r="H188" s="75" t="s">
        <v>16</v>
      </c>
      <c r="I188" s="26">
        <f t="shared" si="12"/>
        <v>0.06666666667</v>
      </c>
      <c r="J188" s="75"/>
    </row>
    <row r="189" ht="22.5" customHeight="1">
      <c r="A189" s="89" t="s">
        <v>855</v>
      </c>
      <c r="B189" s="73">
        <v>46193.0</v>
      </c>
      <c r="C189" s="91">
        <v>4.4E7</v>
      </c>
      <c r="D189" s="91">
        <v>3.5E7</v>
      </c>
      <c r="E189" s="76">
        <v>4.3E7</v>
      </c>
      <c r="F189" s="93">
        <f t="shared" si="11"/>
        <v>1000000</v>
      </c>
      <c r="G189" s="140"/>
      <c r="H189" s="75" t="s">
        <v>16</v>
      </c>
      <c r="I189" s="26">
        <f t="shared" si="12"/>
        <v>0.02857142857</v>
      </c>
      <c r="J189" s="75"/>
    </row>
    <row r="190" ht="22.5" customHeight="1">
      <c r="A190" s="89" t="s">
        <v>859</v>
      </c>
      <c r="B190" s="73">
        <v>46193.0</v>
      </c>
      <c r="C190" s="91">
        <v>6.5E7</v>
      </c>
      <c r="D190" s="91">
        <v>5.0E7</v>
      </c>
      <c r="E190" s="76">
        <v>6.5E7</v>
      </c>
      <c r="F190" s="93">
        <f t="shared" si="11"/>
        <v>0</v>
      </c>
      <c r="G190" s="92" t="s">
        <v>24</v>
      </c>
      <c r="H190" s="75" t="s">
        <v>16</v>
      </c>
      <c r="I190" s="26">
        <f t="shared" si="12"/>
        <v>0</v>
      </c>
      <c r="J190" s="75" t="s">
        <v>861</v>
      </c>
    </row>
    <row r="191" ht="22.5" customHeight="1">
      <c r="A191" s="89" t="s">
        <v>863</v>
      </c>
      <c r="B191" s="73">
        <v>46193.0</v>
      </c>
      <c r="C191" s="91">
        <v>2.25E7</v>
      </c>
      <c r="D191" s="91">
        <v>1.8E7</v>
      </c>
      <c r="E191" s="76">
        <v>2.0E7</v>
      </c>
      <c r="F191" s="93">
        <f t="shared" si="11"/>
        <v>2500000</v>
      </c>
      <c r="G191" s="92" t="s">
        <v>15</v>
      </c>
      <c r="H191" s="75" t="s">
        <v>16</v>
      </c>
      <c r="I191" s="26">
        <f t="shared" si="12"/>
        <v>0.1388888889</v>
      </c>
      <c r="J191" s="75"/>
    </row>
    <row r="192" ht="22.5" customHeight="1">
      <c r="A192" s="89" t="s">
        <v>866</v>
      </c>
      <c r="B192" s="73">
        <v>46195.0</v>
      </c>
      <c r="C192" s="91">
        <v>7.5E7</v>
      </c>
      <c r="D192" s="91">
        <v>5.5E7</v>
      </c>
      <c r="E192" s="76">
        <v>6.5E7</v>
      </c>
      <c r="F192" s="93">
        <f t="shared" si="11"/>
        <v>10000000</v>
      </c>
      <c r="G192" s="92" t="s">
        <v>15</v>
      </c>
      <c r="H192" s="75" t="s">
        <v>16</v>
      </c>
      <c r="I192" s="26">
        <f t="shared" si="12"/>
        <v>0.1818181818</v>
      </c>
      <c r="J192" s="75"/>
    </row>
    <row r="193" ht="22.5" customHeight="1">
      <c r="A193" s="89" t="s">
        <v>869</v>
      </c>
      <c r="B193" s="73">
        <v>46195.0</v>
      </c>
      <c r="C193" s="91">
        <v>4200000.0</v>
      </c>
      <c r="D193" s="91">
        <v>4000000.0</v>
      </c>
      <c r="E193" s="76">
        <v>4000000.0</v>
      </c>
      <c r="F193" s="93">
        <f t="shared" si="11"/>
        <v>200000</v>
      </c>
      <c r="G193" s="92" t="s">
        <v>15</v>
      </c>
      <c r="H193" s="75" t="s">
        <v>16</v>
      </c>
      <c r="I193" s="26">
        <f t="shared" si="12"/>
        <v>0.05</v>
      </c>
      <c r="J193" s="75"/>
    </row>
    <row r="194" ht="22.5" customHeight="1">
      <c r="A194" s="89" t="s">
        <v>871</v>
      </c>
      <c r="B194" s="73">
        <v>46195.0</v>
      </c>
      <c r="C194" s="91">
        <v>3.0E7</v>
      </c>
      <c r="D194" s="91">
        <v>2.4E7</v>
      </c>
      <c r="E194" s="76">
        <v>2.5E7</v>
      </c>
      <c r="F194" s="93">
        <f t="shared" si="11"/>
        <v>5000000</v>
      </c>
      <c r="G194" s="92" t="s">
        <v>24</v>
      </c>
      <c r="H194" s="75" t="s">
        <v>16</v>
      </c>
      <c r="I194" s="26">
        <f t="shared" si="12"/>
        <v>0.2083333333</v>
      </c>
      <c r="J194" s="75" t="s">
        <v>673</v>
      </c>
    </row>
    <row r="195" ht="22.5" customHeight="1">
      <c r="A195" s="89" t="s">
        <v>874</v>
      </c>
      <c r="B195" s="73">
        <v>46195.0</v>
      </c>
      <c r="C195" s="91">
        <v>1.2E7</v>
      </c>
      <c r="D195" s="91">
        <v>9000000.0</v>
      </c>
      <c r="E195" s="76">
        <v>1.2E7</v>
      </c>
      <c r="F195" s="93">
        <f t="shared" si="11"/>
        <v>0</v>
      </c>
      <c r="G195" s="92" t="s">
        <v>24</v>
      </c>
      <c r="H195" s="75" t="s">
        <v>16</v>
      </c>
      <c r="I195" s="26">
        <f t="shared" si="12"/>
        <v>0</v>
      </c>
      <c r="J195" s="75" t="s">
        <v>673</v>
      </c>
    </row>
    <row r="196" ht="22.5" customHeight="1">
      <c r="A196" s="89" t="s">
        <v>877</v>
      </c>
      <c r="B196" s="73">
        <v>46197.0</v>
      </c>
      <c r="C196" s="91">
        <v>2.5E7</v>
      </c>
      <c r="D196" s="91">
        <v>2.0E7</v>
      </c>
      <c r="E196" s="76">
        <v>2.1E7</v>
      </c>
      <c r="F196" s="93">
        <f t="shared" si="11"/>
        <v>4000000</v>
      </c>
      <c r="G196" s="92" t="s">
        <v>15</v>
      </c>
      <c r="H196" s="75" t="s">
        <v>16</v>
      </c>
      <c r="I196" s="26">
        <f t="shared" si="12"/>
        <v>0.2</v>
      </c>
      <c r="J196" s="75"/>
    </row>
    <row r="197" ht="22.5" customHeight="1">
      <c r="A197" s="89" t="s">
        <v>882</v>
      </c>
      <c r="B197" s="73">
        <v>46197.0</v>
      </c>
      <c r="C197" s="91">
        <v>1.2E7</v>
      </c>
      <c r="D197" s="91">
        <v>8000000.0</v>
      </c>
      <c r="E197" s="76">
        <v>1.0E7</v>
      </c>
      <c r="F197" s="93">
        <f t="shared" si="11"/>
        <v>2000000</v>
      </c>
      <c r="G197" s="92" t="s">
        <v>15</v>
      </c>
      <c r="H197" s="75" t="s">
        <v>16</v>
      </c>
      <c r="I197" s="26">
        <f t="shared" si="12"/>
        <v>0.25</v>
      </c>
      <c r="J197" s="75"/>
    </row>
    <row r="198" ht="22.5" customHeight="1">
      <c r="A198" s="89" t="s">
        <v>887</v>
      </c>
      <c r="B198" s="73">
        <v>46197.0</v>
      </c>
      <c r="C198" s="91">
        <v>1.5E7</v>
      </c>
      <c r="D198" s="91">
        <v>1.0E7</v>
      </c>
      <c r="E198" s="76">
        <v>1.5E7</v>
      </c>
      <c r="F198" s="93">
        <f t="shared" si="11"/>
        <v>0</v>
      </c>
      <c r="G198" s="92" t="s">
        <v>15</v>
      </c>
      <c r="H198" s="75" t="s">
        <v>16</v>
      </c>
      <c r="I198" s="26">
        <f t="shared" si="12"/>
        <v>0</v>
      </c>
      <c r="J198" s="75"/>
    </row>
    <row r="199" ht="22.5" customHeight="1">
      <c r="A199" s="89" t="s">
        <v>891</v>
      </c>
      <c r="B199" s="73">
        <v>46197.0</v>
      </c>
      <c r="C199" s="91">
        <v>8.0E7</v>
      </c>
      <c r="D199" s="91">
        <v>6.0E7</v>
      </c>
      <c r="E199" s="76">
        <v>8.0E7</v>
      </c>
      <c r="F199" s="93">
        <f t="shared" si="11"/>
        <v>0</v>
      </c>
      <c r="G199" s="92" t="s">
        <v>24</v>
      </c>
      <c r="H199" s="75" t="s">
        <v>16</v>
      </c>
      <c r="I199" s="26">
        <f t="shared" si="12"/>
        <v>0</v>
      </c>
      <c r="J199" s="75" t="s">
        <v>740</v>
      </c>
    </row>
    <row r="200" ht="22.5" customHeight="1">
      <c r="A200" s="89" t="s">
        <v>895</v>
      </c>
      <c r="B200" s="73">
        <v>46197.0</v>
      </c>
      <c r="C200" s="91">
        <v>1.2E8</v>
      </c>
      <c r="D200" s="91">
        <v>7.5E7</v>
      </c>
      <c r="E200" s="76">
        <v>1.15E8</v>
      </c>
      <c r="F200" s="93">
        <f t="shared" si="11"/>
        <v>5000000</v>
      </c>
      <c r="G200" s="92" t="s">
        <v>24</v>
      </c>
      <c r="H200" s="75" t="s">
        <v>16</v>
      </c>
      <c r="I200" s="26">
        <f t="shared" si="12"/>
        <v>0.06666666667</v>
      </c>
      <c r="J200" s="75" t="s">
        <v>899</v>
      </c>
    </row>
    <row r="201" ht="22.5" customHeight="1">
      <c r="A201" s="89" t="s">
        <v>900</v>
      </c>
      <c r="B201" s="73">
        <v>46197.0</v>
      </c>
      <c r="C201" s="91">
        <v>4.5E7</v>
      </c>
      <c r="D201" s="91">
        <v>4.0E7</v>
      </c>
      <c r="E201" s="76">
        <v>4.0E7</v>
      </c>
      <c r="F201" s="93">
        <f t="shared" si="11"/>
        <v>5000000</v>
      </c>
      <c r="G201" s="92" t="s">
        <v>15</v>
      </c>
      <c r="H201" s="75" t="s">
        <v>16</v>
      </c>
      <c r="I201" s="26">
        <f t="shared" si="12"/>
        <v>0.125</v>
      </c>
      <c r="J201" s="75" t="s">
        <v>903</v>
      </c>
    </row>
    <row r="202" ht="22.5" customHeight="1">
      <c r="A202" s="89" t="s">
        <v>905</v>
      </c>
      <c r="B202" s="73">
        <v>46197.0</v>
      </c>
      <c r="C202" s="91">
        <v>2.5E7</v>
      </c>
      <c r="D202" s="91">
        <v>2.0E7</v>
      </c>
      <c r="E202" s="76">
        <v>2.5E7</v>
      </c>
      <c r="F202" s="93">
        <f t="shared" si="11"/>
        <v>0</v>
      </c>
      <c r="G202" s="92" t="s">
        <v>24</v>
      </c>
      <c r="H202" s="75" t="s">
        <v>16</v>
      </c>
      <c r="I202" s="26">
        <f t="shared" si="12"/>
        <v>0</v>
      </c>
      <c r="J202" s="75" t="s">
        <v>909</v>
      </c>
    </row>
    <row r="203" ht="22.5" customHeight="1">
      <c r="A203" s="89" t="s">
        <v>911</v>
      </c>
      <c r="B203" s="73">
        <v>46197.0</v>
      </c>
      <c r="C203" s="91">
        <v>1.25E8</v>
      </c>
      <c r="D203" s="91">
        <v>9.0E7</v>
      </c>
      <c r="E203" s="76">
        <v>1.0E8</v>
      </c>
      <c r="F203" s="93">
        <f t="shared" si="11"/>
        <v>25000000</v>
      </c>
      <c r="G203" s="92" t="s">
        <v>38</v>
      </c>
      <c r="H203" s="75" t="s">
        <v>16</v>
      </c>
      <c r="I203" s="26">
        <f t="shared" si="12"/>
        <v>0.2777777778</v>
      </c>
      <c r="J203" s="75" t="s">
        <v>846</v>
      </c>
    </row>
    <row r="204" ht="22.5" customHeight="1">
      <c r="A204" s="89" t="s">
        <v>916</v>
      </c>
      <c r="B204" s="73">
        <v>46203.0</v>
      </c>
      <c r="C204" s="91">
        <v>5.0E7</v>
      </c>
      <c r="D204" s="91">
        <v>4.0E7</v>
      </c>
      <c r="E204" s="76">
        <v>4.8E7</v>
      </c>
      <c r="F204" s="93">
        <f t="shared" si="11"/>
        <v>2000000</v>
      </c>
      <c r="G204" s="92" t="s">
        <v>15</v>
      </c>
      <c r="H204" s="75" t="s">
        <v>16</v>
      </c>
      <c r="I204" s="26">
        <f t="shared" si="12"/>
        <v>0.05</v>
      </c>
      <c r="J204" s="75"/>
    </row>
    <row r="205" ht="22.5" customHeight="1">
      <c r="A205" s="89" t="s">
        <v>918</v>
      </c>
      <c r="B205" s="73">
        <v>46203.0</v>
      </c>
      <c r="C205" s="91">
        <v>7.5E7</v>
      </c>
      <c r="D205" s="91">
        <v>5.5E7</v>
      </c>
      <c r="E205" s="76">
        <v>7.5E7</v>
      </c>
      <c r="F205" s="93">
        <f t="shared" si="11"/>
        <v>0</v>
      </c>
      <c r="G205" s="92" t="s">
        <v>24</v>
      </c>
      <c r="H205" s="75" t="s">
        <v>16</v>
      </c>
      <c r="I205" s="26">
        <f t="shared" si="12"/>
        <v>0</v>
      </c>
      <c r="J205" s="75" t="s">
        <v>922</v>
      </c>
    </row>
    <row r="206" ht="22.5" customHeight="1">
      <c r="A206" s="89" t="s">
        <v>923</v>
      </c>
      <c r="B206" s="73">
        <v>46203.0</v>
      </c>
      <c r="C206" s="91">
        <v>7.0E7</v>
      </c>
      <c r="D206" s="91">
        <v>5.0E7</v>
      </c>
      <c r="E206" s="76">
        <v>7.0E7</v>
      </c>
      <c r="F206" s="93">
        <f t="shared" si="11"/>
        <v>0</v>
      </c>
      <c r="G206" s="92" t="s">
        <v>24</v>
      </c>
      <c r="H206" s="75" t="s">
        <v>16</v>
      </c>
      <c r="I206" s="26">
        <f t="shared" si="12"/>
        <v>0</v>
      </c>
      <c r="J206" s="75" t="s">
        <v>926</v>
      </c>
    </row>
    <row r="207" ht="22.5" customHeight="1">
      <c r="A207" s="89" t="s">
        <v>928</v>
      </c>
      <c r="B207" s="73">
        <v>46203.0</v>
      </c>
      <c r="C207" s="91">
        <v>2.7E7</v>
      </c>
      <c r="D207" s="91">
        <v>2.2E7</v>
      </c>
      <c r="E207" s="76">
        <v>2.7E7</v>
      </c>
      <c r="F207" s="93">
        <f t="shared" si="11"/>
        <v>0</v>
      </c>
      <c r="G207" s="92" t="s">
        <v>24</v>
      </c>
      <c r="H207" s="75" t="s">
        <v>16</v>
      </c>
      <c r="I207" s="26">
        <f t="shared" si="12"/>
        <v>0</v>
      </c>
      <c r="J207" s="75" t="s">
        <v>931</v>
      </c>
    </row>
    <row r="208" ht="22.5" customHeight="1">
      <c r="A208" s="89" t="s">
        <v>932</v>
      </c>
      <c r="B208" s="73">
        <v>46203.0</v>
      </c>
      <c r="C208" s="91">
        <v>9.0E7</v>
      </c>
      <c r="D208" s="91">
        <v>6.5E7</v>
      </c>
      <c r="E208" s="76">
        <v>7.5E7</v>
      </c>
      <c r="F208" s="93">
        <f t="shared" si="11"/>
        <v>15000000</v>
      </c>
      <c r="G208" s="92" t="s">
        <v>15</v>
      </c>
      <c r="H208" s="75" t="s">
        <v>16</v>
      </c>
      <c r="I208" s="26">
        <f t="shared" si="12"/>
        <v>0.2307692308</v>
      </c>
      <c r="J208" s="75" t="s">
        <v>846</v>
      </c>
    </row>
    <row r="209" ht="22.5" customHeight="1">
      <c r="A209" s="89" t="s">
        <v>937</v>
      </c>
      <c r="B209" s="73">
        <v>46203.0</v>
      </c>
      <c r="C209" s="91">
        <v>2.5E7</v>
      </c>
      <c r="D209" s="91">
        <v>1.8E7</v>
      </c>
      <c r="E209" s="76">
        <v>2.5E7</v>
      </c>
      <c r="F209" s="93">
        <f t="shared" si="11"/>
        <v>0</v>
      </c>
      <c r="G209" s="92" t="s">
        <v>15</v>
      </c>
      <c r="H209" s="75" t="s">
        <v>16</v>
      </c>
      <c r="I209" s="26">
        <f t="shared" si="12"/>
        <v>0</v>
      </c>
      <c r="J209" s="75"/>
    </row>
    <row r="210" ht="22.5" customHeight="1">
      <c r="A210" s="142" t="s">
        <v>943</v>
      </c>
      <c r="B210" s="143">
        <v>46204.0</v>
      </c>
      <c r="C210" s="91">
        <v>4.5E7</v>
      </c>
      <c r="D210" s="91">
        <v>3.5E7</v>
      </c>
      <c r="E210" s="76">
        <v>4.5E7</v>
      </c>
      <c r="F210" s="93">
        <f t="shared" si="11"/>
        <v>0</v>
      </c>
      <c r="G210" s="92" t="s">
        <v>24</v>
      </c>
      <c r="H210" s="75" t="s">
        <v>16</v>
      </c>
      <c r="I210" s="26">
        <f t="shared" si="12"/>
        <v>0</v>
      </c>
      <c r="J210" s="75"/>
    </row>
    <row r="211" ht="22.5" customHeight="1">
      <c r="A211" s="89" t="s">
        <v>946</v>
      </c>
      <c r="B211" s="38">
        <v>46206.0</v>
      </c>
      <c r="C211" s="91">
        <v>8.5E7</v>
      </c>
      <c r="D211" s="91">
        <v>6.5E7</v>
      </c>
      <c r="E211" s="76"/>
      <c r="F211" s="93">
        <f t="shared" si="11"/>
        <v>85000000</v>
      </c>
      <c r="G211" s="92" t="s">
        <v>38</v>
      </c>
      <c r="H211" s="75" t="s">
        <v>16</v>
      </c>
      <c r="I211" s="26">
        <f t="shared" si="12"/>
        <v>1.307692308</v>
      </c>
      <c r="J211" s="75" t="s">
        <v>637</v>
      </c>
    </row>
    <row r="212" ht="22.5" customHeight="1">
      <c r="A212" s="89" t="s">
        <v>950</v>
      </c>
      <c r="B212" s="38">
        <v>46206.0</v>
      </c>
      <c r="C212" s="91">
        <v>4.5E7</v>
      </c>
      <c r="D212" s="91">
        <v>3.6E7</v>
      </c>
      <c r="E212" s="76">
        <v>4.3E7</v>
      </c>
      <c r="F212" s="93">
        <f t="shared" si="11"/>
        <v>2000000</v>
      </c>
      <c r="G212" s="92" t="s">
        <v>24</v>
      </c>
      <c r="H212" s="75" t="s">
        <v>16</v>
      </c>
      <c r="I212" s="26">
        <f t="shared" si="12"/>
        <v>0.05555555556</v>
      </c>
      <c r="J212" s="75" t="s">
        <v>673</v>
      </c>
    </row>
    <row r="213" ht="22.5" customHeight="1">
      <c r="A213" s="89" t="s">
        <v>953</v>
      </c>
      <c r="B213" s="38">
        <v>46206.0</v>
      </c>
      <c r="C213" s="91">
        <v>8.25E7</v>
      </c>
      <c r="D213" s="91">
        <v>6.5E7</v>
      </c>
      <c r="E213" s="76">
        <v>6.5E7</v>
      </c>
      <c r="F213" s="93">
        <f t="shared" si="11"/>
        <v>17500000</v>
      </c>
      <c r="G213" s="92" t="s">
        <v>15</v>
      </c>
      <c r="H213" s="75" t="s">
        <v>16</v>
      </c>
      <c r="I213" s="26">
        <f t="shared" si="12"/>
        <v>0.2692307692</v>
      </c>
      <c r="J213" s="75"/>
    </row>
    <row r="214" ht="22.5" customHeight="1">
      <c r="A214" s="89" t="s">
        <v>958</v>
      </c>
      <c r="B214" s="38">
        <v>46206.0</v>
      </c>
      <c r="C214" s="91">
        <v>1.05E8</v>
      </c>
      <c r="D214" s="91">
        <v>7.5E7</v>
      </c>
      <c r="E214" s="76">
        <v>8.5E7</v>
      </c>
      <c r="F214" s="93">
        <f t="shared" si="11"/>
        <v>20000000</v>
      </c>
      <c r="G214" s="92" t="s">
        <v>24</v>
      </c>
      <c r="H214" s="75" t="s">
        <v>16</v>
      </c>
      <c r="I214" s="26">
        <f t="shared" si="12"/>
        <v>0.2666666667</v>
      </c>
      <c r="J214" s="75" t="s">
        <v>960</v>
      </c>
    </row>
    <row r="215" ht="22.5" customHeight="1">
      <c r="A215" s="89" t="s">
        <v>962</v>
      </c>
      <c r="B215" s="38">
        <v>46206.0</v>
      </c>
      <c r="C215" s="91">
        <v>3.5E7</v>
      </c>
      <c r="D215" s="91">
        <v>2.8E7</v>
      </c>
      <c r="E215" s="76">
        <v>3.1E7</v>
      </c>
      <c r="F215" s="93">
        <f t="shared" si="11"/>
        <v>4000000</v>
      </c>
      <c r="G215" s="92" t="s">
        <v>15</v>
      </c>
      <c r="H215" s="75" t="s">
        <v>16</v>
      </c>
      <c r="I215" s="26">
        <f t="shared" si="12"/>
        <v>0.1428571429</v>
      </c>
      <c r="J215" s="75"/>
    </row>
    <row r="216" ht="22.5" customHeight="1">
      <c r="A216" s="89" t="s">
        <v>968</v>
      </c>
      <c r="B216" s="38">
        <v>46206.0</v>
      </c>
      <c r="C216" s="91">
        <v>1.0E8</v>
      </c>
      <c r="D216" s="91">
        <v>7.0E7</v>
      </c>
      <c r="E216" s="76">
        <v>1.0E8</v>
      </c>
      <c r="F216" s="93">
        <f t="shared" si="11"/>
        <v>0</v>
      </c>
      <c r="G216" s="92" t="s">
        <v>24</v>
      </c>
      <c r="H216" s="75" t="s">
        <v>16</v>
      </c>
      <c r="I216" s="26">
        <f t="shared" si="12"/>
        <v>0</v>
      </c>
      <c r="J216" s="75"/>
    </row>
    <row r="217" ht="22.5" customHeight="1">
      <c r="A217" s="89" t="s">
        <v>970</v>
      </c>
      <c r="B217" s="73">
        <v>46213.0</v>
      </c>
      <c r="C217" s="91">
        <v>6.0E7</v>
      </c>
      <c r="D217" s="91">
        <v>4.5E7</v>
      </c>
      <c r="E217" s="76">
        <v>5.0E7</v>
      </c>
      <c r="F217" s="93">
        <f t="shared" si="11"/>
        <v>10000000</v>
      </c>
      <c r="G217" s="92" t="s">
        <v>15</v>
      </c>
      <c r="H217" s="75" t="s">
        <v>16</v>
      </c>
      <c r="I217" s="26">
        <f t="shared" si="12"/>
        <v>0.2222222222</v>
      </c>
      <c r="J217" s="75"/>
    </row>
    <row r="218" ht="22.5" customHeight="1">
      <c r="A218" s="89" t="s">
        <v>973</v>
      </c>
      <c r="B218" s="73">
        <v>46213.0</v>
      </c>
      <c r="C218" s="91">
        <v>6.5E7</v>
      </c>
      <c r="D218" s="91">
        <v>5.0E7</v>
      </c>
      <c r="E218" s="76">
        <v>5.8E7</v>
      </c>
      <c r="F218" s="93">
        <f t="shared" si="11"/>
        <v>7000000</v>
      </c>
      <c r="G218" s="92" t="s">
        <v>24</v>
      </c>
      <c r="H218" s="75" t="s">
        <v>16</v>
      </c>
      <c r="I218" s="26">
        <f t="shared" si="12"/>
        <v>0.14</v>
      </c>
      <c r="J218" s="75" t="s">
        <v>976</v>
      </c>
    </row>
    <row r="219" ht="22.5" customHeight="1">
      <c r="A219" s="89" t="s">
        <v>978</v>
      </c>
      <c r="B219" s="73">
        <v>46213.0</v>
      </c>
      <c r="C219" s="91">
        <v>5.0E7</v>
      </c>
      <c r="D219" s="91">
        <v>4.0E7</v>
      </c>
      <c r="E219" s="76">
        <v>4.2E7</v>
      </c>
      <c r="F219" s="93">
        <f t="shared" si="11"/>
        <v>8000000</v>
      </c>
      <c r="G219" s="92" t="s">
        <v>24</v>
      </c>
      <c r="H219" s="75" t="s">
        <v>16</v>
      </c>
      <c r="I219" s="26">
        <f t="shared" si="12"/>
        <v>0.2</v>
      </c>
      <c r="J219" s="75" t="s">
        <v>980</v>
      </c>
    </row>
    <row r="220" ht="22.5" customHeight="1">
      <c r="A220" s="89" t="s">
        <v>982</v>
      </c>
      <c r="B220" s="73">
        <v>46213.0</v>
      </c>
      <c r="C220" s="91">
        <v>1.2E8</v>
      </c>
      <c r="D220" s="91">
        <v>7.0E7</v>
      </c>
      <c r="E220" s="76">
        <v>1.15E8</v>
      </c>
      <c r="F220" s="93">
        <f t="shared" si="11"/>
        <v>5000000</v>
      </c>
      <c r="G220" s="92" t="s">
        <v>24</v>
      </c>
      <c r="H220" s="75" t="s">
        <v>16</v>
      </c>
      <c r="I220" s="26">
        <f t="shared" si="12"/>
        <v>0.07142857143</v>
      </c>
      <c r="J220" s="75" t="s">
        <v>740</v>
      </c>
    </row>
    <row r="221" ht="22.5" customHeight="1">
      <c r="A221" s="89" t="s">
        <v>985</v>
      </c>
      <c r="B221" s="73">
        <v>46213.0</v>
      </c>
      <c r="C221" s="91">
        <v>8.0E7</v>
      </c>
      <c r="D221" s="91">
        <v>6.0E7</v>
      </c>
      <c r="E221" s="76">
        <v>6.2E7</v>
      </c>
      <c r="F221" s="93">
        <f t="shared" si="11"/>
        <v>18000000</v>
      </c>
      <c r="G221" s="92" t="s">
        <v>15</v>
      </c>
      <c r="H221" s="75" t="s">
        <v>16</v>
      </c>
      <c r="I221" s="26">
        <f t="shared" si="12"/>
        <v>0.3</v>
      </c>
      <c r="J221" s="75"/>
    </row>
    <row r="222" ht="22.5" customHeight="1">
      <c r="A222" s="89" t="s">
        <v>988</v>
      </c>
      <c r="B222" s="73">
        <v>46213.0</v>
      </c>
      <c r="C222" s="91">
        <v>9.0E7</v>
      </c>
      <c r="D222" s="91">
        <v>6.5E7</v>
      </c>
      <c r="E222" s="76">
        <v>7.0E7</v>
      </c>
      <c r="F222" s="93">
        <f t="shared" si="11"/>
        <v>20000000</v>
      </c>
      <c r="G222" s="92" t="s">
        <v>15</v>
      </c>
      <c r="H222" s="75" t="s">
        <v>16</v>
      </c>
      <c r="I222" s="26">
        <f t="shared" si="12"/>
        <v>0.3076923077</v>
      </c>
      <c r="J222" s="75"/>
    </row>
    <row r="223" ht="22.5" customHeight="1">
      <c r="A223" s="89" t="s">
        <v>993</v>
      </c>
      <c r="B223" s="73">
        <v>46217.0</v>
      </c>
      <c r="C223" s="91">
        <v>4.5E7</v>
      </c>
      <c r="D223" s="91">
        <v>3.6E7</v>
      </c>
      <c r="E223" s="76">
        <v>4.0E7</v>
      </c>
      <c r="F223" s="93">
        <f t="shared" si="11"/>
        <v>5000000</v>
      </c>
      <c r="G223" s="92" t="s">
        <v>15</v>
      </c>
      <c r="H223" s="75" t="s">
        <v>16</v>
      </c>
      <c r="I223" s="26">
        <f t="shared" si="12"/>
        <v>0.1388888889</v>
      </c>
      <c r="J223" s="75"/>
    </row>
    <row r="224" ht="22.5" customHeight="1">
      <c r="A224" s="89" t="s">
        <v>997</v>
      </c>
      <c r="B224" s="73">
        <v>46217.0</v>
      </c>
      <c r="C224" s="91">
        <v>2.5E7</v>
      </c>
      <c r="D224" s="91">
        <v>2.0E7</v>
      </c>
      <c r="E224" s="76">
        <v>2.0E7</v>
      </c>
      <c r="F224" s="93">
        <f t="shared" si="11"/>
        <v>5000000</v>
      </c>
      <c r="G224" s="92" t="s">
        <v>24</v>
      </c>
      <c r="H224" s="75" t="s">
        <v>16</v>
      </c>
      <c r="I224" s="26">
        <f t="shared" si="12"/>
        <v>0.25</v>
      </c>
      <c r="J224" s="75" t="s">
        <v>673</v>
      </c>
    </row>
    <row r="225" ht="22.5" customHeight="1">
      <c r="A225" s="89" t="s">
        <v>1001</v>
      </c>
      <c r="B225" s="73">
        <v>46217.0</v>
      </c>
      <c r="C225" s="91">
        <v>9.5E7</v>
      </c>
      <c r="D225" s="91">
        <v>7.5E7</v>
      </c>
      <c r="E225" s="76">
        <v>7.5E7</v>
      </c>
      <c r="F225" s="93">
        <f t="shared" si="11"/>
        <v>20000000</v>
      </c>
      <c r="G225" s="92" t="s">
        <v>15</v>
      </c>
      <c r="H225" s="75" t="s">
        <v>16</v>
      </c>
      <c r="I225" s="26">
        <f t="shared" si="12"/>
        <v>0.2666666667</v>
      </c>
      <c r="J225" s="75"/>
    </row>
    <row r="226" ht="22.5" customHeight="1">
      <c r="A226" s="89" t="s">
        <v>1004</v>
      </c>
      <c r="B226" s="73">
        <v>46224.0</v>
      </c>
      <c r="C226" s="91">
        <v>9.5E7</v>
      </c>
      <c r="D226" s="91">
        <v>7.0E7</v>
      </c>
      <c r="E226" s="76">
        <v>9.0E7</v>
      </c>
      <c r="F226" s="93">
        <f t="shared" si="11"/>
        <v>5000000</v>
      </c>
      <c r="G226" s="92" t="s">
        <v>24</v>
      </c>
      <c r="H226" s="75" t="s">
        <v>16</v>
      </c>
      <c r="I226" s="26">
        <f t="shared" si="12"/>
        <v>0.07142857143</v>
      </c>
      <c r="J226" s="75" t="s">
        <v>1008</v>
      </c>
    </row>
    <row r="227" ht="22.5" customHeight="1">
      <c r="A227" s="89" t="s">
        <v>1009</v>
      </c>
      <c r="B227" s="73">
        <v>46224.0</v>
      </c>
      <c r="C227" s="91">
        <v>3.6E7</v>
      </c>
      <c r="D227" s="91">
        <v>3.0E7</v>
      </c>
      <c r="E227" s="76">
        <v>3.36E7</v>
      </c>
      <c r="F227" s="93">
        <f t="shared" si="11"/>
        <v>2400000</v>
      </c>
      <c r="G227" s="92" t="s">
        <v>15</v>
      </c>
      <c r="H227" s="75" t="s">
        <v>16</v>
      </c>
      <c r="I227" s="26">
        <f t="shared" si="12"/>
        <v>0.08</v>
      </c>
      <c r="J227" s="75"/>
    </row>
    <row r="228" ht="22.5" customHeight="1">
      <c r="A228" s="89" t="s">
        <v>1012</v>
      </c>
      <c r="B228" s="73">
        <v>46224.0</v>
      </c>
      <c r="C228" s="91">
        <v>6.0E7</v>
      </c>
      <c r="D228" s="91">
        <v>4.5E7</v>
      </c>
      <c r="E228" s="76">
        <v>5.5E7</v>
      </c>
      <c r="F228" s="93">
        <f t="shared" si="11"/>
        <v>5000000</v>
      </c>
      <c r="G228" s="92" t="s">
        <v>38</v>
      </c>
      <c r="H228" s="75" t="s">
        <v>16</v>
      </c>
      <c r="I228" s="26">
        <f t="shared" si="12"/>
        <v>0.1111111111</v>
      </c>
      <c r="J228" s="75" t="s">
        <v>1016</v>
      </c>
    </row>
    <row r="229" ht="22.5" customHeight="1">
      <c r="A229" s="89" t="s">
        <v>1017</v>
      </c>
      <c r="B229" s="73">
        <v>46224.0</v>
      </c>
      <c r="C229" s="91">
        <v>1.2E8</v>
      </c>
      <c r="D229" s="91">
        <v>7.0E7</v>
      </c>
      <c r="E229" s="76">
        <v>1.0E8</v>
      </c>
      <c r="F229" s="93">
        <f t="shared" si="11"/>
        <v>20000000</v>
      </c>
      <c r="G229" s="92" t="s">
        <v>24</v>
      </c>
      <c r="H229" s="75" t="s">
        <v>16</v>
      </c>
      <c r="I229" s="26">
        <f t="shared" si="12"/>
        <v>0.2857142857</v>
      </c>
      <c r="J229" s="75" t="s">
        <v>1020</v>
      </c>
    </row>
    <row r="230" ht="22.5" customHeight="1">
      <c r="A230" s="89" t="s">
        <v>1022</v>
      </c>
      <c r="B230" s="73">
        <v>46224.0</v>
      </c>
      <c r="C230" s="91">
        <v>1.3E8</v>
      </c>
      <c r="D230" s="91">
        <v>7.0E7</v>
      </c>
      <c r="E230" s="76">
        <v>1.2E8</v>
      </c>
      <c r="F230" s="93">
        <f t="shared" si="11"/>
        <v>10000000</v>
      </c>
      <c r="G230" s="92" t="s">
        <v>24</v>
      </c>
      <c r="H230" s="75" t="s">
        <v>16</v>
      </c>
      <c r="I230" s="26">
        <f t="shared" si="12"/>
        <v>0.1428571429</v>
      </c>
      <c r="J230" s="75" t="s">
        <v>1026</v>
      </c>
    </row>
    <row r="231" ht="22.5" customHeight="1">
      <c r="A231" s="89" t="s">
        <v>1028</v>
      </c>
      <c r="B231" s="73">
        <v>46224.0</v>
      </c>
      <c r="C231" s="91">
        <v>1.3E8</v>
      </c>
      <c r="D231" s="91">
        <v>7.0E7</v>
      </c>
      <c r="E231" s="76">
        <v>1.25E8</v>
      </c>
      <c r="F231" s="93">
        <f t="shared" si="11"/>
        <v>5000000</v>
      </c>
      <c r="G231" s="92" t="s">
        <v>24</v>
      </c>
      <c r="H231" s="75" t="s">
        <v>16</v>
      </c>
      <c r="I231" s="26">
        <f t="shared" si="12"/>
        <v>0.07142857143</v>
      </c>
      <c r="J231" s="75" t="s">
        <v>1026</v>
      </c>
    </row>
    <row r="232" ht="22.5" customHeight="1">
      <c r="A232" s="89" t="s">
        <v>1030</v>
      </c>
      <c r="B232" s="73">
        <v>46224.0</v>
      </c>
      <c r="C232" s="91">
        <v>4.5E7</v>
      </c>
      <c r="D232" s="91">
        <v>3.6E7</v>
      </c>
      <c r="E232" s="76">
        <v>3.8E7</v>
      </c>
      <c r="F232" s="93">
        <f t="shared" si="11"/>
        <v>7000000</v>
      </c>
      <c r="G232" s="92" t="s">
        <v>15</v>
      </c>
      <c r="H232" s="75" t="s">
        <v>16</v>
      </c>
      <c r="I232" s="26">
        <f t="shared" si="12"/>
        <v>0.1944444444</v>
      </c>
      <c r="J232" s="75"/>
    </row>
    <row r="233" ht="22.5" customHeight="1">
      <c r="A233" s="89" t="s">
        <v>1036</v>
      </c>
      <c r="B233" s="73">
        <v>46224.0</v>
      </c>
      <c r="C233" s="91">
        <v>5.5E7</v>
      </c>
      <c r="D233" s="91">
        <v>4.0E7</v>
      </c>
      <c r="E233" s="76">
        <v>4.5E7</v>
      </c>
      <c r="F233" s="93">
        <f t="shared" si="11"/>
        <v>10000000</v>
      </c>
      <c r="G233" s="92" t="s">
        <v>15</v>
      </c>
      <c r="H233" s="75" t="s">
        <v>16</v>
      </c>
      <c r="I233" s="26">
        <f t="shared" si="12"/>
        <v>0.25</v>
      </c>
      <c r="J233" s="75"/>
    </row>
    <row r="234" ht="22.5" customHeight="1">
      <c r="A234" s="89" t="s">
        <v>1039</v>
      </c>
      <c r="B234" s="73">
        <v>46224.0</v>
      </c>
      <c r="C234" s="91">
        <v>5.5E7</v>
      </c>
      <c r="D234" s="91">
        <v>4.0E7</v>
      </c>
      <c r="E234" s="76">
        <v>4.8E7</v>
      </c>
      <c r="F234" s="93">
        <f t="shared" si="11"/>
        <v>7000000</v>
      </c>
      <c r="G234" s="92" t="s">
        <v>15</v>
      </c>
      <c r="H234" s="75" t="s">
        <v>16</v>
      </c>
      <c r="I234" s="26">
        <f t="shared" si="12"/>
        <v>0.175</v>
      </c>
      <c r="J234" s="75"/>
    </row>
    <row r="235" ht="22.5" customHeight="1">
      <c r="A235" s="89" t="s">
        <v>1043</v>
      </c>
      <c r="B235" s="73">
        <v>46224.0</v>
      </c>
      <c r="C235" s="91">
        <v>2.8E7</v>
      </c>
      <c r="D235" s="91">
        <v>2.3E7</v>
      </c>
      <c r="E235" s="76">
        <v>2.8E7</v>
      </c>
      <c r="F235" s="93">
        <f t="shared" si="11"/>
        <v>0</v>
      </c>
      <c r="G235" s="92" t="s">
        <v>15</v>
      </c>
      <c r="H235" s="75" t="s">
        <v>16</v>
      </c>
      <c r="I235" s="26">
        <f t="shared" si="12"/>
        <v>0</v>
      </c>
      <c r="J235" s="75"/>
    </row>
    <row r="236" ht="22.5" customHeight="1">
      <c r="A236" s="89" t="s">
        <v>1046</v>
      </c>
      <c r="B236" s="73">
        <v>46231.0</v>
      </c>
      <c r="C236" s="91">
        <v>5.5E7</v>
      </c>
      <c r="D236" s="91">
        <v>4.0E7</v>
      </c>
      <c r="E236" s="76">
        <v>4.6E7</v>
      </c>
      <c r="F236" s="93">
        <f t="shared" si="11"/>
        <v>9000000</v>
      </c>
      <c r="G236" s="92" t="s">
        <v>15</v>
      </c>
      <c r="H236" s="75" t="s">
        <v>16</v>
      </c>
      <c r="I236" s="26">
        <f t="shared" si="12"/>
        <v>0.225</v>
      </c>
      <c r="J236" s="75"/>
    </row>
    <row r="237" ht="22.5" customHeight="1">
      <c r="A237" s="89" t="s">
        <v>1051</v>
      </c>
      <c r="B237" s="73">
        <v>46231.0</v>
      </c>
      <c r="C237" s="91">
        <v>5.5E7</v>
      </c>
      <c r="D237" s="91">
        <v>4.2E7</v>
      </c>
      <c r="E237" s="76">
        <v>4.75E7</v>
      </c>
      <c r="F237" s="93">
        <f t="shared" si="11"/>
        <v>7500000</v>
      </c>
      <c r="G237" s="92" t="s">
        <v>15</v>
      </c>
      <c r="H237" s="75" t="s">
        <v>16</v>
      </c>
      <c r="I237" s="26">
        <f t="shared" si="12"/>
        <v>0.1785714286</v>
      </c>
      <c r="J237" s="75"/>
    </row>
    <row r="238" ht="22.5" customHeight="1">
      <c r="A238" s="89" t="s">
        <v>1056</v>
      </c>
      <c r="B238" s="73">
        <v>46231.0</v>
      </c>
      <c r="C238" s="91">
        <v>4.0E7</v>
      </c>
      <c r="D238" s="91">
        <v>3.2E7</v>
      </c>
      <c r="E238" s="76">
        <v>4.0E7</v>
      </c>
      <c r="F238" s="93">
        <f t="shared" si="11"/>
        <v>0</v>
      </c>
      <c r="G238" s="92" t="s">
        <v>15</v>
      </c>
      <c r="H238" s="75" t="s">
        <v>16</v>
      </c>
      <c r="I238" s="26">
        <f t="shared" si="12"/>
        <v>0</v>
      </c>
      <c r="J238" s="75"/>
    </row>
    <row r="239" ht="22.5" customHeight="1">
      <c r="A239" s="89" t="s">
        <v>1058</v>
      </c>
      <c r="B239" s="73">
        <v>46231.0</v>
      </c>
      <c r="C239" s="91">
        <v>3.5E7</v>
      </c>
      <c r="D239" s="91">
        <v>2.8E7</v>
      </c>
      <c r="E239" s="76">
        <v>2.8E7</v>
      </c>
      <c r="F239" s="93">
        <f t="shared" si="11"/>
        <v>7000000</v>
      </c>
      <c r="G239" s="92" t="s">
        <v>15</v>
      </c>
      <c r="H239" s="75" t="s">
        <v>16</v>
      </c>
      <c r="I239" s="26">
        <f t="shared" si="12"/>
        <v>0.25</v>
      </c>
      <c r="J239" s="75"/>
    </row>
    <row r="240" ht="22.5" customHeight="1">
      <c r="A240" s="89" t="s">
        <v>1062</v>
      </c>
      <c r="B240" s="73">
        <v>46231.0</v>
      </c>
      <c r="C240" s="91">
        <v>7.5E7</v>
      </c>
      <c r="D240" s="91">
        <v>5.5E7</v>
      </c>
      <c r="E240" s="76">
        <v>6.5E7</v>
      </c>
      <c r="F240" s="93">
        <f t="shared" si="11"/>
        <v>10000000</v>
      </c>
      <c r="G240" s="92" t="s">
        <v>15</v>
      </c>
      <c r="H240" s="75" t="s">
        <v>16</v>
      </c>
      <c r="I240" s="26">
        <f t="shared" si="12"/>
        <v>0.1818181818</v>
      </c>
      <c r="J240" s="75"/>
    </row>
    <row r="241" ht="22.5" customHeight="1">
      <c r="A241" s="89" t="s">
        <v>1066</v>
      </c>
      <c r="B241" s="73">
        <v>46231.0</v>
      </c>
      <c r="C241" s="91">
        <v>2.5E7</v>
      </c>
      <c r="D241" s="91">
        <v>2.0E7</v>
      </c>
      <c r="E241" s="76">
        <v>2.4E7</v>
      </c>
      <c r="F241" s="93">
        <f t="shared" si="11"/>
        <v>1000000</v>
      </c>
      <c r="G241" s="92" t="s">
        <v>15</v>
      </c>
      <c r="H241" s="75" t="s">
        <v>16</v>
      </c>
      <c r="I241" s="26">
        <f t="shared" si="12"/>
        <v>0.05</v>
      </c>
      <c r="J241" s="75"/>
    </row>
    <row r="242" ht="22.5" customHeight="1">
      <c r="A242" s="89" t="s">
        <v>1070</v>
      </c>
      <c r="B242" s="73">
        <v>46231.0</v>
      </c>
      <c r="C242" s="91">
        <v>3.5E7</v>
      </c>
      <c r="D242" s="91">
        <v>3.0E7</v>
      </c>
      <c r="E242" s="76">
        <v>3.0E7</v>
      </c>
      <c r="F242" s="93">
        <f t="shared" si="11"/>
        <v>5000000</v>
      </c>
      <c r="G242" s="92" t="s">
        <v>15</v>
      </c>
      <c r="H242" s="75" t="s">
        <v>16</v>
      </c>
      <c r="I242" s="26">
        <f t="shared" si="12"/>
        <v>0.1666666667</v>
      </c>
      <c r="J242" s="75"/>
    </row>
    <row r="243" ht="22.5" customHeight="1">
      <c r="A243" s="89" t="s">
        <v>1073</v>
      </c>
      <c r="B243" s="73">
        <v>46231.0</v>
      </c>
      <c r="C243" s="91">
        <v>8.5E7</v>
      </c>
      <c r="D243" s="91">
        <v>6.0E7</v>
      </c>
      <c r="E243" s="76">
        <v>7.0E7</v>
      </c>
      <c r="F243" s="93">
        <f t="shared" si="11"/>
        <v>15000000</v>
      </c>
      <c r="G243" s="92" t="s">
        <v>38</v>
      </c>
      <c r="H243" s="75" t="s">
        <v>16</v>
      </c>
      <c r="I243" s="26">
        <f t="shared" si="12"/>
        <v>0.25</v>
      </c>
      <c r="J243" s="75" t="s">
        <v>846</v>
      </c>
    </row>
    <row r="244" ht="22.5" customHeight="1">
      <c r="A244" s="89" t="s">
        <v>1077</v>
      </c>
      <c r="B244" s="73">
        <v>46231.0</v>
      </c>
      <c r="C244" s="91">
        <v>3.9E7</v>
      </c>
      <c r="D244" s="91">
        <v>3.0E7</v>
      </c>
      <c r="E244" s="76">
        <v>3.0E7</v>
      </c>
      <c r="F244" s="93">
        <f t="shared" si="11"/>
        <v>9000000</v>
      </c>
      <c r="G244" s="92" t="s">
        <v>15</v>
      </c>
      <c r="H244" s="75" t="s">
        <v>16</v>
      </c>
      <c r="I244" s="26">
        <f t="shared" si="12"/>
        <v>0.3</v>
      </c>
      <c r="J244" s="75"/>
    </row>
    <row r="245" ht="22.5" customHeight="1">
      <c r="A245" s="89" t="s">
        <v>1081</v>
      </c>
      <c r="B245" s="73">
        <v>46231.0</v>
      </c>
      <c r="C245" s="91">
        <v>4.0E7</v>
      </c>
      <c r="D245" s="91">
        <v>3.2E7</v>
      </c>
      <c r="E245" s="76">
        <v>4.0E7</v>
      </c>
      <c r="F245" s="93">
        <f t="shared" si="11"/>
        <v>0</v>
      </c>
      <c r="G245" s="92" t="s">
        <v>24</v>
      </c>
      <c r="H245" s="75" t="s">
        <v>16</v>
      </c>
      <c r="I245" s="26">
        <f t="shared" si="12"/>
        <v>0</v>
      </c>
      <c r="J245" s="75" t="s">
        <v>449</v>
      </c>
    </row>
    <row r="246" ht="22.5" customHeight="1">
      <c r="A246" s="89" t="s">
        <v>1083</v>
      </c>
      <c r="B246" s="73">
        <v>46231.0</v>
      </c>
      <c r="C246" s="91">
        <v>6.0E7</v>
      </c>
      <c r="D246" s="91">
        <v>4.0E7</v>
      </c>
      <c r="E246" s="76">
        <v>5.5E7</v>
      </c>
      <c r="F246" s="93">
        <f t="shared" si="11"/>
        <v>5000000</v>
      </c>
      <c r="G246" s="92" t="s">
        <v>15</v>
      </c>
      <c r="H246" s="75" t="s">
        <v>16</v>
      </c>
      <c r="I246" s="26">
        <f t="shared" si="12"/>
        <v>0.125</v>
      </c>
      <c r="J246" s="75"/>
    </row>
    <row r="247" ht="22.5" customHeight="1">
      <c r="A247" s="89" t="s">
        <v>1087</v>
      </c>
      <c r="B247" s="73">
        <v>46231.0</v>
      </c>
      <c r="C247" s="91">
        <v>6.5E7</v>
      </c>
      <c r="D247" s="91">
        <v>5.0E7</v>
      </c>
      <c r="E247" s="76">
        <v>5.0E7</v>
      </c>
      <c r="F247" s="93">
        <f t="shared" si="11"/>
        <v>15000000</v>
      </c>
      <c r="G247" s="92" t="s">
        <v>15</v>
      </c>
      <c r="H247" s="75" t="s">
        <v>16</v>
      </c>
      <c r="I247" s="26">
        <f t="shared" si="12"/>
        <v>0.3</v>
      </c>
      <c r="J247" s="75"/>
    </row>
    <row r="248" ht="22.5" customHeight="1">
      <c r="A248" s="89" t="s">
        <v>1090</v>
      </c>
      <c r="B248" s="73">
        <v>46231.0</v>
      </c>
      <c r="C248" s="91">
        <v>2.0E7</v>
      </c>
      <c r="D248" s="91">
        <v>1.5E7</v>
      </c>
      <c r="E248" s="76">
        <v>2.0E7</v>
      </c>
      <c r="F248" s="93">
        <f t="shared" si="11"/>
        <v>0</v>
      </c>
      <c r="G248" s="92" t="s">
        <v>24</v>
      </c>
      <c r="H248" s="75" t="s">
        <v>16</v>
      </c>
      <c r="I248" s="26">
        <f t="shared" si="12"/>
        <v>0</v>
      </c>
      <c r="J248" s="75" t="s">
        <v>1094</v>
      </c>
    </row>
    <row r="249" ht="22.5" customHeight="1">
      <c r="A249" s="89" t="s">
        <v>1095</v>
      </c>
      <c r="B249" s="73">
        <v>46231.0</v>
      </c>
      <c r="C249" s="91">
        <v>5.0E7</v>
      </c>
      <c r="D249" s="91">
        <v>3.8E7</v>
      </c>
      <c r="E249" s="76">
        <v>4.2E7</v>
      </c>
      <c r="F249" s="93">
        <f t="shared" si="11"/>
        <v>8000000</v>
      </c>
      <c r="G249" s="92" t="s">
        <v>15</v>
      </c>
      <c r="H249" s="75" t="s">
        <v>16</v>
      </c>
      <c r="I249" s="26">
        <f t="shared" si="12"/>
        <v>0.2105263158</v>
      </c>
      <c r="J249" s="75"/>
    </row>
    <row r="250" ht="22.5" customHeight="1">
      <c r="A250" s="89" t="s">
        <v>1098</v>
      </c>
      <c r="B250" s="38">
        <v>46241.0</v>
      </c>
      <c r="C250" s="91">
        <v>3.8E7</v>
      </c>
      <c r="D250" s="91">
        <v>3.0E7</v>
      </c>
      <c r="E250" s="76">
        <v>3.8E7</v>
      </c>
      <c r="F250" s="93">
        <f t="shared" si="11"/>
        <v>0</v>
      </c>
      <c r="G250" s="92" t="s">
        <v>24</v>
      </c>
      <c r="H250" s="75" t="s">
        <v>16</v>
      </c>
      <c r="I250" s="26">
        <f t="shared" si="12"/>
        <v>0</v>
      </c>
      <c r="J250" s="75" t="s">
        <v>1101</v>
      </c>
    </row>
    <row r="251" ht="22.5" customHeight="1">
      <c r="A251" s="89" t="s">
        <v>1102</v>
      </c>
      <c r="B251" s="38">
        <v>46241.0</v>
      </c>
      <c r="C251" s="91">
        <v>6.75E7</v>
      </c>
      <c r="D251" s="91">
        <v>4.5E7</v>
      </c>
      <c r="E251" s="76">
        <v>5.5E7</v>
      </c>
      <c r="F251" s="93">
        <f t="shared" si="11"/>
        <v>12500000</v>
      </c>
      <c r="G251" s="92" t="s">
        <v>24</v>
      </c>
      <c r="H251" s="75" t="s">
        <v>16</v>
      </c>
      <c r="I251" s="26">
        <f t="shared" si="12"/>
        <v>0.2777777778</v>
      </c>
      <c r="J251" s="75" t="s">
        <v>1104</v>
      </c>
    </row>
    <row r="252" ht="22.5" customHeight="1">
      <c r="A252" s="89" t="s">
        <v>1106</v>
      </c>
      <c r="B252" s="38">
        <v>46241.0</v>
      </c>
      <c r="C252" s="91">
        <v>4.0E7</v>
      </c>
      <c r="D252" s="91">
        <v>3.2E7</v>
      </c>
      <c r="E252" s="76">
        <v>3.6666666E7</v>
      </c>
      <c r="F252" s="93">
        <f t="shared" si="11"/>
        <v>3333334</v>
      </c>
      <c r="G252" s="92" t="s">
        <v>15</v>
      </c>
      <c r="H252" s="75" t="s">
        <v>16</v>
      </c>
      <c r="I252" s="26">
        <f t="shared" si="12"/>
        <v>0.1041666875</v>
      </c>
      <c r="J252" s="75" t="s">
        <v>1108</v>
      </c>
    </row>
    <row r="253" ht="22.5" customHeight="1">
      <c r="A253" s="89" t="s">
        <v>1112</v>
      </c>
      <c r="B253" s="38">
        <v>46241.0</v>
      </c>
      <c r="C253" s="91">
        <v>6.0E7</v>
      </c>
      <c r="D253" s="91">
        <v>4.2E7</v>
      </c>
      <c r="E253" s="76">
        <v>5.0E7</v>
      </c>
      <c r="F253" s="93">
        <f t="shared" si="11"/>
        <v>10000000</v>
      </c>
      <c r="G253" s="92" t="s">
        <v>24</v>
      </c>
      <c r="H253" s="75" t="s">
        <v>16</v>
      </c>
      <c r="I253" s="26">
        <f t="shared" si="12"/>
        <v>0.2380952381</v>
      </c>
      <c r="J253" s="75" t="s">
        <v>1115</v>
      </c>
    </row>
    <row r="254" ht="22.5" customHeight="1">
      <c r="A254" s="89" t="s">
        <v>1117</v>
      </c>
      <c r="B254" s="38">
        <v>46241.0</v>
      </c>
      <c r="C254" s="91">
        <v>5.0E7</v>
      </c>
      <c r="D254" s="91">
        <v>4.0E7</v>
      </c>
      <c r="E254" s="76">
        <v>5.0E7</v>
      </c>
      <c r="F254" s="93">
        <f t="shared" si="11"/>
        <v>0</v>
      </c>
      <c r="G254" s="92" t="s">
        <v>24</v>
      </c>
      <c r="H254" s="75" t="s">
        <v>16</v>
      </c>
      <c r="I254" s="26">
        <f t="shared" si="12"/>
        <v>0</v>
      </c>
      <c r="J254" s="75" t="s">
        <v>1119</v>
      </c>
    </row>
    <row r="255" ht="22.5" customHeight="1">
      <c r="A255" s="89" t="s">
        <v>1121</v>
      </c>
      <c r="B255" s="38">
        <v>46241.0</v>
      </c>
      <c r="C255" s="91">
        <v>8.0E7</v>
      </c>
      <c r="D255" s="91">
        <v>6.5E7</v>
      </c>
      <c r="E255" s="76">
        <v>7.0E7</v>
      </c>
      <c r="F255" s="93">
        <f t="shared" si="11"/>
        <v>10000000</v>
      </c>
      <c r="G255" s="92" t="s">
        <v>15</v>
      </c>
      <c r="H255" s="75" t="s">
        <v>16</v>
      </c>
      <c r="I255" s="26">
        <f t="shared" si="12"/>
        <v>0.1538461538</v>
      </c>
      <c r="J255" s="75" t="s">
        <v>1016</v>
      </c>
    </row>
    <row r="256" ht="22.5" customHeight="1">
      <c r="A256" s="89" t="s">
        <v>1125</v>
      </c>
      <c r="B256" s="38">
        <v>46241.0</v>
      </c>
      <c r="C256" s="91">
        <v>4.6E7</v>
      </c>
      <c r="D256" s="91">
        <v>3.8E7</v>
      </c>
      <c r="E256" s="76">
        <v>4.1E7</v>
      </c>
      <c r="F256" s="93">
        <f t="shared" si="11"/>
        <v>5000000</v>
      </c>
      <c r="G256" s="92" t="s">
        <v>15</v>
      </c>
      <c r="H256" s="75" t="s">
        <v>16</v>
      </c>
      <c r="I256" s="26">
        <f t="shared" si="12"/>
        <v>0.1315789474</v>
      </c>
      <c r="J256" s="75" t="s">
        <v>1016</v>
      </c>
    </row>
    <row r="257" ht="22.5" customHeight="1">
      <c r="A257" s="89" t="s">
        <v>1127</v>
      </c>
      <c r="B257" s="38">
        <v>46241.0</v>
      </c>
      <c r="C257" s="91">
        <v>6.5E7</v>
      </c>
      <c r="D257" s="91">
        <v>5.0E7</v>
      </c>
      <c r="E257" s="76">
        <v>6.5E7</v>
      </c>
      <c r="F257" s="93">
        <f t="shared" si="11"/>
        <v>0</v>
      </c>
      <c r="G257" s="92" t="s">
        <v>24</v>
      </c>
      <c r="H257" s="75" t="s">
        <v>16</v>
      </c>
      <c r="I257" s="26">
        <f t="shared" si="12"/>
        <v>0</v>
      </c>
      <c r="J257" s="75" t="s">
        <v>1131</v>
      </c>
    </row>
    <row r="258" ht="22.5" customHeight="1">
      <c r="A258" s="89" t="s">
        <v>1132</v>
      </c>
      <c r="B258" s="38">
        <v>46241.0</v>
      </c>
      <c r="C258" s="91">
        <v>5.5E7</v>
      </c>
      <c r="D258" s="91">
        <v>4.0E7</v>
      </c>
      <c r="E258" s="76">
        <v>5.2E7</v>
      </c>
      <c r="F258" s="93">
        <f t="shared" si="11"/>
        <v>3000000</v>
      </c>
      <c r="G258" s="92" t="s">
        <v>24</v>
      </c>
      <c r="H258" s="75" t="s">
        <v>16</v>
      </c>
      <c r="I258" s="26">
        <f t="shared" si="12"/>
        <v>0.075</v>
      </c>
      <c r="J258" s="75" t="s">
        <v>1134</v>
      </c>
    </row>
    <row r="259" ht="22.5" customHeight="1">
      <c r="A259" s="89" t="s">
        <v>1136</v>
      </c>
      <c r="B259" s="38">
        <v>46241.0</v>
      </c>
      <c r="C259" s="91">
        <v>4.0E7</v>
      </c>
      <c r="D259" s="91">
        <v>3.2E7</v>
      </c>
      <c r="E259" s="76">
        <v>3.2E7</v>
      </c>
      <c r="F259" s="93">
        <f t="shared" si="11"/>
        <v>8000000</v>
      </c>
      <c r="G259" s="92" t="s">
        <v>15</v>
      </c>
      <c r="H259" s="75" t="s">
        <v>16</v>
      </c>
      <c r="I259" s="26">
        <f t="shared" si="12"/>
        <v>0.25</v>
      </c>
      <c r="J259" s="75"/>
    </row>
    <row r="260" ht="22.5" customHeight="1">
      <c r="A260" s="89" t="s">
        <v>1138</v>
      </c>
      <c r="B260" s="38">
        <v>46241.0</v>
      </c>
      <c r="C260" s="91">
        <v>5.5E7</v>
      </c>
      <c r="D260" s="91">
        <v>4.0E7</v>
      </c>
      <c r="E260" s="76">
        <v>4.8E7</v>
      </c>
      <c r="F260" s="93">
        <f t="shared" si="11"/>
        <v>7000000</v>
      </c>
      <c r="G260" s="92" t="s">
        <v>15</v>
      </c>
      <c r="H260" s="75" t="s">
        <v>16</v>
      </c>
      <c r="I260" s="26">
        <f t="shared" si="12"/>
        <v>0.175</v>
      </c>
      <c r="J260" s="75"/>
    </row>
    <row r="261" ht="22.5" customHeight="1">
      <c r="A261" s="89" t="s">
        <v>1141</v>
      </c>
      <c r="B261" s="38">
        <v>46241.0</v>
      </c>
      <c r="C261" s="91">
        <v>3.0E7</v>
      </c>
      <c r="D261" s="91">
        <v>2.5E7</v>
      </c>
      <c r="E261" s="76">
        <v>3.0E7</v>
      </c>
      <c r="F261" s="93">
        <f t="shared" si="11"/>
        <v>0</v>
      </c>
      <c r="G261" s="92" t="s">
        <v>24</v>
      </c>
      <c r="H261" s="75" t="s">
        <v>16</v>
      </c>
      <c r="I261" s="26">
        <f t="shared" si="12"/>
        <v>0</v>
      </c>
      <c r="J261" s="75" t="s">
        <v>1143</v>
      </c>
    </row>
    <row r="262" ht="22.5" customHeight="1">
      <c r="A262" s="89" t="s">
        <v>1145</v>
      </c>
      <c r="B262" s="73">
        <v>46246.0</v>
      </c>
      <c r="C262" s="91">
        <v>3.6E7</v>
      </c>
      <c r="D262" s="91">
        <v>2.8E7</v>
      </c>
      <c r="E262" s="76">
        <v>3.3E7</v>
      </c>
      <c r="F262" s="93">
        <f t="shared" si="11"/>
        <v>3000000</v>
      </c>
      <c r="G262" s="92" t="s">
        <v>15</v>
      </c>
      <c r="H262" s="75" t="s">
        <v>16</v>
      </c>
      <c r="I262" s="26">
        <f t="shared" si="12"/>
        <v>0.1071428571</v>
      </c>
      <c r="J262" s="75"/>
    </row>
    <row r="263" ht="22.5" customHeight="1">
      <c r="A263" s="89" t="s">
        <v>1147</v>
      </c>
      <c r="B263" s="73">
        <v>46246.0</v>
      </c>
      <c r="C263" s="91">
        <v>7.5E7</v>
      </c>
      <c r="D263" s="91">
        <v>4.5E7</v>
      </c>
      <c r="E263" s="76">
        <v>7.0E7</v>
      </c>
      <c r="F263" s="93">
        <f t="shared" si="11"/>
        <v>5000000</v>
      </c>
      <c r="G263" s="92" t="s">
        <v>24</v>
      </c>
      <c r="H263" s="75" t="s">
        <v>16</v>
      </c>
      <c r="I263" s="26">
        <f t="shared" si="12"/>
        <v>0.1111111111</v>
      </c>
      <c r="J263" s="75" t="s">
        <v>1149</v>
      </c>
    </row>
    <row r="264" ht="22.5" customHeight="1">
      <c r="A264" s="89" t="s">
        <v>1150</v>
      </c>
      <c r="B264" s="73">
        <v>46246.0</v>
      </c>
      <c r="C264" s="91">
        <v>3.0E7</v>
      </c>
      <c r="D264" s="91">
        <v>2.0E7</v>
      </c>
      <c r="E264" s="76">
        <v>3.0E7</v>
      </c>
      <c r="F264" s="93">
        <f t="shared" si="11"/>
        <v>0</v>
      </c>
      <c r="G264" s="140"/>
      <c r="H264" s="75" t="s">
        <v>16</v>
      </c>
      <c r="I264" s="26">
        <f t="shared" si="12"/>
        <v>0</v>
      </c>
      <c r="J264" s="75" t="s">
        <v>1152</v>
      </c>
    </row>
    <row r="265" ht="22.5" customHeight="1">
      <c r="A265" s="89" t="s">
        <v>1154</v>
      </c>
      <c r="B265" s="73">
        <v>46246.0</v>
      </c>
      <c r="C265" s="91">
        <v>5.25E7</v>
      </c>
      <c r="D265" s="91">
        <v>3.8E7</v>
      </c>
      <c r="E265" s="76">
        <v>5.25E7</v>
      </c>
      <c r="F265" s="93">
        <f t="shared" si="11"/>
        <v>0</v>
      </c>
      <c r="G265" s="92" t="s">
        <v>38</v>
      </c>
      <c r="H265" s="75" t="s">
        <v>16</v>
      </c>
      <c r="I265" s="26">
        <f t="shared" si="12"/>
        <v>0</v>
      </c>
      <c r="J265" s="75" t="s">
        <v>1157</v>
      </c>
    </row>
    <row r="266" ht="22.5" customHeight="1">
      <c r="A266" s="89" t="s">
        <v>1158</v>
      </c>
      <c r="B266" s="73">
        <v>46247.0</v>
      </c>
      <c r="C266" s="91">
        <v>6.5E7</v>
      </c>
      <c r="D266" s="91">
        <v>4.0E7</v>
      </c>
      <c r="E266" s="76">
        <v>6.5E7</v>
      </c>
      <c r="F266" s="93">
        <f t="shared" si="11"/>
        <v>0</v>
      </c>
      <c r="G266" s="92" t="s">
        <v>24</v>
      </c>
      <c r="H266" s="75" t="s">
        <v>16</v>
      </c>
      <c r="I266" s="26">
        <f t="shared" si="12"/>
        <v>0</v>
      </c>
      <c r="J266" s="75" t="s">
        <v>740</v>
      </c>
    </row>
    <row r="267" ht="22.5" customHeight="1">
      <c r="A267" s="89" t="s">
        <v>1161</v>
      </c>
      <c r="B267" s="73">
        <v>46253.0</v>
      </c>
      <c r="C267" s="91">
        <v>5.0E7</v>
      </c>
      <c r="D267" s="91">
        <v>3.8E7</v>
      </c>
      <c r="E267" s="91">
        <v>5.0E7</v>
      </c>
      <c r="F267" s="93">
        <f t="shared" si="11"/>
        <v>0</v>
      </c>
      <c r="G267" s="92" t="s">
        <v>24</v>
      </c>
      <c r="H267" s="75" t="s">
        <v>16</v>
      </c>
      <c r="I267" s="26">
        <f t="shared" si="12"/>
        <v>0</v>
      </c>
      <c r="J267" s="75" t="s">
        <v>1164</v>
      </c>
    </row>
    <row r="268" ht="22.5" customHeight="1">
      <c r="A268" s="89" t="s">
        <v>1166</v>
      </c>
      <c r="B268" s="73">
        <v>46253.0</v>
      </c>
      <c r="C268" s="91">
        <v>4.5E7</v>
      </c>
      <c r="D268" s="91">
        <v>3.8E7</v>
      </c>
      <c r="E268" s="76">
        <v>4.2E7</v>
      </c>
      <c r="F268" s="93">
        <f t="shared" si="11"/>
        <v>3000000</v>
      </c>
      <c r="G268" s="92" t="s">
        <v>15</v>
      </c>
      <c r="H268" s="75" t="s">
        <v>16</v>
      </c>
      <c r="I268" s="26">
        <f t="shared" si="12"/>
        <v>0.07894736842</v>
      </c>
      <c r="J268" s="75"/>
    </row>
    <row r="269" ht="22.5" customHeight="1">
      <c r="A269" s="89" t="s">
        <v>1168</v>
      </c>
      <c r="B269" s="73">
        <v>46253.0</v>
      </c>
      <c r="C269" s="91">
        <v>4.5E7</v>
      </c>
      <c r="D269" s="91">
        <v>3.6E7</v>
      </c>
      <c r="E269" s="76">
        <v>3.8E7</v>
      </c>
      <c r="F269" s="93">
        <f t="shared" si="11"/>
        <v>7000000</v>
      </c>
      <c r="G269" s="92" t="s">
        <v>15</v>
      </c>
      <c r="H269" s="75" t="s">
        <v>16</v>
      </c>
      <c r="I269" s="26">
        <f t="shared" si="12"/>
        <v>0.1944444444</v>
      </c>
      <c r="J269" s="75"/>
    </row>
    <row r="270" ht="22.5" customHeight="1">
      <c r="A270" s="89" t="s">
        <v>1172</v>
      </c>
      <c r="B270" s="73">
        <v>46253.0</v>
      </c>
      <c r="C270" s="91">
        <v>3.6E7</v>
      </c>
      <c r="D270" s="91">
        <v>3.0E7</v>
      </c>
      <c r="E270" s="91">
        <v>3.6E7</v>
      </c>
      <c r="F270" s="93">
        <f t="shared" si="11"/>
        <v>0</v>
      </c>
      <c r="G270" s="92" t="s">
        <v>24</v>
      </c>
      <c r="H270" s="75" t="s">
        <v>16</v>
      </c>
      <c r="I270" s="26">
        <f t="shared" si="12"/>
        <v>0</v>
      </c>
      <c r="J270" s="75" t="s">
        <v>1176</v>
      </c>
    </row>
    <row r="271" ht="22.5" customHeight="1">
      <c r="A271" s="89" t="s">
        <v>1177</v>
      </c>
      <c r="B271" s="73">
        <v>46255.0</v>
      </c>
      <c r="C271" s="91">
        <v>7.2E7</v>
      </c>
      <c r="D271" s="91">
        <v>5.7E7</v>
      </c>
      <c r="E271" s="76">
        <v>6.3E7</v>
      </c>
      <c r="F271" s="93">
        <f t="shared" si="11"/>
        <v>9000000</v>
      </c>
      <c r="G271" s="92" t="s">
        <v>15</v>
      </c>
      <c r="H271" s="75" t="s">
        <v>16</v>
      </c>
      <c r="I271" s="26">
        <f t="shared" si="12"/>
        <v>0.1578947368</v>
      </c>
      <c r="J271" s="75"/>
    </row>
    <row r="272" ht="22.5" customHeight="1">
      <c r="A272" s="89" t="s">
        <v>1180</v>
      </c>
      <c r="B272" s="73">
        <v>46261.0</v>
      </c>
      <c r="C272" s="91">
        <v>3.5E7</v>
      </c>
      <c r="D272" s="91">
        <v>2.8E7</v>
      </c>
      <c r="E272" s="76">
        <v>3.0E7</v>
      </c>
      <c r="F272" s="93">
        <f t="shared" si="11"/>
        <v>5000000</v>
      </c>
      <c r="G272" s="92" t="s">
        <v>15</v>
      </c>
      <c r="H272" s="75" t="s">
        <v>16</v>
      </c>
      <c r="I272" s="26">
        <f t="shared" si="12"/>
        <v>0.1785714286</v>
      </c>
      <c r="J272" s="75"/>
    </row>
    <row r="273" ht="22.5" customHeight="1">
      <c r="A273" s="89" t="s">
        <v>1183</v>
      </c>
      <c r="B273" s="73">
        <v>46261.0</v>
      </c>
      <c r="C273" s="91">
        <v>5.5E7</v>
      </c>
      <c r="D273" s="91">
        <v>4.0E7</v>
      </c>
      <c r="E273" s="76">
        <v>4.5E7</v>
      </c>
      <c r="F273" s="93">
        <f t="shared" si="11"/>
        <v>10000000</v>
      </c>
      <c r="G273" s="92" t="s">
        <v>15</v>
      </c>
      <c r="H273" s="75" t="s">
        <v>16</v>
      </c>
      <c r="I273" s="26">
        <f t="shared" si="12"/>
        <v>0.25</v>
      </c>
      <c r="J273" s="75"/>
    </row>
    <row r="274" ht="22.5" customHeight="1">
      <c r="A274" s="89" t="s">
        <v>1186</v>
      </c>
      <c r="B274" s="73">
        <v>46261.0</v>
      </c>
      <c r="C274" s="91">
        <v>5.0E7</v>
      </c>
      <c r="D274" s="91">
        <v>3.8E7</v>
      </c>
      <c r="E274" s="76">
        <v>3.8E7</v>
      </c>
      <c r="F274" s="93">
        <f t="shared" si="11"/>
        <v>12000000</v>
      </c>
      <c r="G274" s="92" t="s">
        <v>15</v>
      </c>
      <c r="H274" s="75" t="s">
        <v>16</v>
      </c>
      <c r="I274" s="26">
        <f t="shared" si="12"/>
        <v>0.3157894737</v>
      </c>
      <c r="J274" s="75"/>
    </row>
    <row r="275" ht="22.5" customHeight="1">
      <c r="A275" s="89" t="s">
        <v>1189</v>
      </c>
      <c r="B275" s="73">
        <v>46261.0</v>
      </c>
      <c r="C275" s="91">
        <v>5.5E7</v>
      </c>
      <c r="D275" s="91">
        <v>4.0E7</v>
      </c>
      <c r="E275" s="76">
        <v>4.6E7</v>
      </c>
      <c r="F275" s="93">
        <f t="shared" si="11"/>
        <v>9000000</v>
      </c>
      <c r="G275" s="92" t="s">
        <v>38</v>
      </c>
      <c r="H275" s="75" t="s">
        <v>16</v>
      </c>
      <c r="I275" s="26">
        <f t="shared" si="12"/>
        <v>0.225</v>
      </c>
      <c r="J275" s="75" t="s">
        <v>1191</v>
      </c>
    </row>
    <row r="276" ht="22.5" customHeight="1">
      <c r="A276" s="89" t="s">
        <v>1193</v>
      </c>
      <c r="B276" s="73">
        <v>46261.0</v>
      </c>
      <c r="C276" s="91">
        <v>6.5E7</v>
      </c>
      <c r="D276" s="91">
        <v>4.0E7</v>
      </c>
      <c r="E276" s="76">
        <v>5.0E7</v>
      </c>
      <c r="F276" s="93">
        <f t="shared" si="11"/>
        <v>15000000</v>
      </c>
      <c r="G276" s="92" t="s">
        <v>15</v>
      </c>
      <c r="H276" s="75" t="s">
        <v>16</v>
      </c>
      <c r="I276" s="26">
        <f t="shared" si="12"/>
        <v>0.375</v>
      </c>
      <c r="J276" s="75"/>
    </row>
    <row r="277" ht="22.5" customHeight="1">
      <c r="A277" s="89" t="s">
        <v>1195</v>
      </c>
      <c r="B277" s="73">
        <v>46261.0</v>
      </c>
      <c r="C277" s="91">
        <v>4.0E7</v>
      </c>
      <c r="D277" s="91">
        <v>3.2E7</v>
      </c>
      <c r="E277" s="76">
        <v>3.2E7</v>
      </c>
      <c r="F277" s="93">
        <f t="shared" si="11"/>
        <v>8000000</v>
      </c>
      <c r="G277" s="92" t="s">
        <v>15</v>
      </c>
      <c r="H277" s="75" t="s">
        <v>16</v>
      </c>
      <c r="I277" s="26">
        <f t="shared" si="12"/>
        <v>0.25</v>
      </c>
      <c r="J277" s="75"/>
    </row>
    <row r="278" ht="22.5" customHeight="1">
      <c r="A278" s="89" t="s">
        <v>1200</v>
      </c>
      <c r="B278" s="73">
        <v>46261.0</v>
      </c>
      <c r="C278" s="91">
        <v>2.0E7</v>
      </c>
      <c r="D278" s="91">
        <v>1.0E7</v>
      </c>
      <c r="E278" s="76">
        <v>1.5E7</v>
      </c>
      <c r="F278" s="93">
        <f t="shared" si="11"/>
        <v>5000000</v>
      </c>
      <c r="G278" s="92" t="s">
        <v>38</v>
      </c>
      <c r="H278" s="75" t="s">
        <v>16</v>
      </c>
      <c r="I278" s="26">
        <f t="shared" si="12"/>
        <v>0.5</v>
      </c>
      <c r="J278" s="75" t="s">
        <v>1016</v>
      </c>
    </row>
    <row r="279" ht="22.5" customHeight="1">
      <c r="A279" s="89" t="s">
        <v>1202</v>
      </c>
      <c r="B279" s="38">
        <v>46267.0</v>
      </c>
      <c r="C279" s="91">
        <v>2.8E7</v>
      </c>
      <c r="D279" s="91">
        <v>2.5E7</v>
      </c>
      <c r="E279" s="91">
        <v>2.8E7</v>
      </c>
      <c r="F279" s="157">
        <f t="shared" si="11"/>
        <v>0</v>
      </c>
      <c r="G279" s="92" t="s">
        <v>24</v>
      </c>
      <c r="H279" s="75" t="s">
        <v>16</v>
      </c>
      <c r="I279" s="26">
        <f t="shared" si="12"/>
        <v>0</v>
      </c>
      <c r="J279" s="75" t="s">
        <v>1205</v>
      </c>
    </row>
    <row r="280" ht="22.5" customHeight="1">
      <c r="A280" s="89" t="s">
        <v>1208</v>
      </c>
      <c r="B280" s="38">
        <v>46267.0</v>
      </c>
      <c r="C280" s="91">
        <v>5.0E7</v>
      </c>
      <c r="D280" s="91">
        <v>4.0E7</v>
      </c>
      <c r="E280" s="157">
        <v>4.5E7</v>
      </c>
      <c r="F280" s="157">
        <f t="shared" si="11"/>
        <v>5000000</v>
      </c>
      <c r="G280" s="92" t="s">
        <v>15</v>
      </c>
      <c r="H280" s="75" t="s">
        <v>16</v>
      </c>
      <c r="I280" s="26">
        <f t="shared" si="12"/>
        <v>0.125</v>
      </c>
      <c r="J280" s="75"/>
    </row>
    <row r="281" ht="22.5" customHeight="1">
      <c r="A281" s="89" t="s">
        <v>1209</v>
      </c>
      <c r="B281" s="38">
        <v>46267.0</v>
      </c>
      <c r="C281" s="91">
        <v>1.7E7</v>
      </c>
      <c r="D281" s="91">
        <v>1.2E7</v>
      </c>
      <c r="E281" s="157">
        <v>1.5E7</v>
      </c>
      <c r="F281" s="157">
        <f t="shared" si="11"/>
        <v>2000000</v>
      </c>
      <c r="G281" s="92" t="s">
        <v>15</v>
      </c>
      <c r="H281" s="75" t="s">
        <v>16</v>
      </c>
      <c r="I281" s="26">
        <f t="shared" si="12"/>
        <v>0.1666666667</v>
      </c>
      <c r="J281" s="75"/>
    </row>
    <row r="282" ht="22.5" customHeight="1">
      <c r="A282" s="89" t="s">
        <v>1214</v>
      </c>
      <c r="B282" s="38">
        <v>46267.0</v>
      </c>
      <c r="C282" s="91">
        <v>7.5E7</v>
      </c>
      <c r="D282" s="91">
        <v>5.0E7</v>
      </c>
      <c r="E282" s="157">
        <v>7.0E7</v>
      </c>
      <c r="F282" s="157">
        <f t="shared" si="11"/>
        <v>5000000</v>
      </c>
      <c r="G282" s="92" t="s">
        <v>38</v>
      </c>
      <c r="H282" s="75" t="s">
        <v>16</v>
      </c>
      <c r="I282" s="26">
        <f t="shared" si="12"/>
        <v>0.1</v>
      </c>
      <c r="J282" s="75" t="s">
        <v>1216</v>
      </c>
    </row>
    <row r="283" ht="22.5" customHeight="1">
      <c r="A283" s="89" t="s">
        <v>1218</v>
      </c>
      <c r="B283" s="38">
        <v>46267.0</v>
      </c>
      <c r="C283" s="91">
        <v>4.5E7</v>
      </c>
      <c r="D283" s="91">
        <v>3.2E7</v>
      </c>
      <c r="E283" s="158"/>
      <c r="F283" s="157">
        <f t="shared" si="11"/>
        <v>45000000</v>
      </c>
      <c r="G283" s="140"/>
      <c r="H283" s="75" t="s">
        <v>16</v>
      </c>
      <c r="I283" s="26">
        <f t="shared" si="12"/>
        <v>1.40625</v>
      </c>
      <c r="J283" s="75" t="s">
        <v>1222</v>
      </c>
    </row>
    <row r="284" ht="22.5" customHeight="1">
      <c r="A284" s="89" t="s">
        <v>1223</v>
      </c>
      <c r="B284" s="38">
        <v>46267.0</v>
      </c>
      <c r="C284" s="91">
        <v>3.0E7</v>
      </c>
      <c r="D284" s="91">
        <v>2.2E7</v>
      </c>
      <c r="E284" s="91">
        <v>3.0E7</v>
      </c>
      <c r="F284" s="157">
        <f t="shared" si="11"/>
        <v>0</v>
      </c>
      <c r="G284" s="92" t="s">
        <v>24</v>
      </c>
      <c r="H284" s="75" t="s">
        <v>16</v>
      </c>
      <c r="I284" s="26">
        <f t="shared" si="12"/>
        <v>0</v>
      </c>
      <c r="J284" s="75" t="s">
        <v>1226</v>
      </c>
    </row>
    <row r="285" ht="22.5" customHeight="1">
      <c r="A285" s="89" t="s">
        <v>1228</v>
      </c>
      <c r="B285" s="38">
        <v>46267.0</v>
      </c>
      <c r="C285" s="91">
        <v>3.5E7</v>
      </c>
      <c r="D285" s="91">
        <v>2.8E7</v>
      </c>
      <c r="E285" s="157">
        <v>3.0E7</v>
      </c>
      <c r="F285" s="157">
        <f t="shared" si="11"/>
        <v>5000000</v>
      </c>
      <c r="G285" s="92" t="s">
        <v>15</v>
      </c>
      <c r="H285" s="75" t="s">
        <v>16</v>
      </c>
      <c r="I285" s="26">
        <f t="shared" si="12"/>
        <v>0.1785714286</v>
      </c>
      <c r="J285" s="75"/>
    </row>
    <row r="286" ht="22.5" customHeight="1">
      <c r="A286" s="89" t="s">
        <v>1231</v>
      </c>
      <c r="B286" s="38">
        <v>46267.0</v>
      </c>
      <c r="C286" s="91">
        <v>5.5E7</v>
      </c>
      <c r="D286" s="91">
        <v>4.0E7</v>
      </c>
      <c r="E286" s="157">
        <v>5.0E7</v>
      </c>
      <c r="F286" s="157">
        <f t="shared" si="11"/>
        <v>5000000</v>
      </c>
      <c r="G286" s="92" t="s">
        <v>15</v>
      </c>
      <c r="H286" s="75" t="s">
        <v>16</v>
      </c>
      <c r="I286" s="26">
        <f t="shared" si="12"/>
        <v>0.125</v>
      </c>
      <c r="J286" s="75"/>
    </row>
    <row r="287" ht="22.5" customHeight="1">
      <c r="A287" s="89" t="s">
        <v>1234</v>
      </c>
      <c r="B287" s="38">
        <v>46267.0</v>
      </c>
      <c r="C287" s="91">
        <v>6.0E7</v>
      </c>
      <c r="D287" s="91">
        <v>4.5E7</v>
      </c>
      <c r="E287" s="91">
        <v>6.0E7</v>
      </c>
      <c r="F287" s="157">
        <f t="shared" si="11"/>
        <v>0</v>
      </c>
      <c r="G287" s="92" t="s">
        <v>24</v>
      </c>
      <c r="H287" s="75" t="s">
        <v>16</v>
      </c>
      <c r="I287" s="26">
        <f t="shared" si="12"/>
        <v>0</v>
      </c>
      <c r="J287" s="75" t="s">
        <v>1236</v>
      </c>
    </row>
    <row r="288" ht="22.5" customHeight="1">
      <c r="A288" s="89" t="s">
        <v>1238</v>
      </c>
      <c r="B288" s="38">
        <v>46267.0</v>
      </c>
      <c r="C288" s="91">
        <v>5.0E7</v>
      </c>
      <c r="D288" s="91">
        <v>4.0E7</v>
      </c>
      <c r="E288" s="157">
        <v>4.5E7</v>
      </c>
      <c r="F288" s="157">
        <f t="shared" si="11"/>
        <v>5000000</v>
      </c>
      <c r="G288" s="92" t="s">
        <v>15</v>
      </c>
      <c r="H288" s="75" t="s">
        <v>16</v>
      </c>
      <c r="I288" s="26">
        <f t="shared" si="12"/>
        <v>0.125</v>
      </c>
      <c r="J288" s="75"/>
    </row>
    <row r="289" ht="22.5" customHeight="1">
      <c r="A289" s="89" t="s">
        <v>1240</v>
      </c>
      <c r="B289" s="38">
        <v>46267.0</v>
      </c>
      <c r="C289" s="91">
        <v>9.0E7</v>
      </c>
      <c r="D289" s="91">
        <v>6.5E7</v>
      </c>
      <c r="E289" s="157">
        <v>8.6666666E7</v>
      </c>
      <c r="F289" s="157">
        <f t="shared" si="11"/>
        <v>3333334</v>
      </c>
      <c r="G289" s="92" t="s">
        <v>38</v>
      </c>
      <c r="H289" s="75" t="s">
        <v>16</v>
      </c>
      <c r="I289" s="26">
        <f t="shared" si="12"/>
        <v>0.05128206154</v>
      </c>
      <c r="J289" s="75" t="s">
        <v>1216</v>
      </c>
    </row>
    <row r="290" ht="22.5" customHeight="1">
      <c r="A290" s="89" t="s">
        <v>1242</v>
      </c>
      <c r="B290" s="38">
        <v>46267.0</v>
      </c>
      <c r="C290" s="91">
        <v>2.2E7</v>
      </c>
      <c r="D290" s="91">
        <v>1.6E7</v>
      </c>
      <c r="E290" s="157">
        <v>2.0E7</v>
      </c>
      <c r="F290" s="157">
        <f t="shared" si="11"/>
        <v>2000000</v>
      </c>
      <c r="G290" s="92" t="s">
        <v>15</v>
      </c>
      <c r="H290" s="75" t="s">
        <v>16</v>
      </c>
      <c r="I290" s="26">
        <f t="shared" si="12"/>
        <v>0.125</v>
      </c>
      <c r="J290" s="75"/>
    </row>
    <row r="291" ht="22.5" customHeight="1">
      <c r="A291" s="89" t="s">
        <v>1246</v>
      </c>
      <c r="B291" s="38">
        <v>46274.0</v>
      </c>
      <c r="C291" s="91">
        <v>7.0E7</v>
      </c>
      <c r="D291" s="91">
        <v>5.0E7</v>
      </c>
      <c r="E291" s="157">
        <v>6.5E7</v>
      </c>
      <c r="F291" s="157">
        <f t="shared" si="11"/>
        <v>5000000</v>
      </c>
      <c r="G291" s="92" t="s">
        <v>24</v>
      </c>
      <c r="H291" s="75" t="s">
        <v>16</v>
      </c>
      <c r="I291" s="26">
        <f t="shared" si="12"/>
        <v>0.1</v>
      </c>
      <c r="J291" s="75" t="s">
        <v>1248</v>
      </c>
    </row>
    <row r="292" ht="22.5" customHeight="1">
      <c r="A292" s="89" t="s">
        <v>1249</v>
      </c>
      <c r="B292" s="73">
        <v>46276.0</v>
      </c>
      <c r="C292" s="91">
        <v>2.8E7</v>
      </c>
      <c r="D292" s="161">
        <v>2.0E7</v>
      </c>
      <c r="E292" s="157">
        <v>2.6E7</v>
      </c>
      <c r="F292" s="157">
        <f t="shared" si="11"/>
        <v>2000000</v>
      </c>
      <c r="G292" s="92" t="s">
        <v>38</v>
      </c>
      <c r="H292" s="75" t="s">
        <v>16</v>
      </c>
      <c r="I292" s="26">
        <f t="shared" si="12"/>
        <v>0.1</v>
      </c>
      <c r="J292" s="75" t="s">
        <v>1252</v>
      </c>
    </row>
    <row r="293" ht="22.5" customHeight="1">
      <c r="A293" s="89" t="s">
        <v>1254</v>
      </c>
      <c r="B293" s="73">
        <v>46276.0</v>
      </c>
      <c r="C293" s="91">
        <v>3.3E7</v>
      </c>
      <c r="D293" s="91">
        <v>2.7E7</v>
      </c>
      <c r="E293" s="157">
        <v>3.5E7</v>
      </c>
      <c r="F293" s="157">
        <f t="shared" si="11"/>
        <v>-2000000</v>
      </c>
      <c r="G293" s="140"/>
      <c r="H293" s="75" t="s">
        <v>16</v>
      </c>
      <c r="I293" s="26">
        <f t="shared" si="12"/>
        <v>-0.07407407407</v>
      </c>
      <c r="J293" s="75" t="s">
        <v>1257</v>
      </c>
    </row>
    <row r="294" ht="22.5" customHeight="1">
      <c r="A294" s="89" t="s">
        <v>1259</v>
      </c>
      <c r="B294" s="73">
        <v>46276.0</v>
      </c>
      <c r="C294" s="91">
        <v>2.5E7</v>
      </c>
      <c r="D294" s="91">
        <v>2.0E7</v>
      </c>
      <c r="E294" s="157">
        <v>2.5E7</v>
      </c>
      <c r="F294" s="157">
        <f t="shared" si="11"/>
        <v>0</v>
      </c>
      <c r="G294" s="92" t="s">
        <v>15</v>
      </c>
      <c r="H294" s="75" t="s">
        <v>16</v>
      </c>
      <c r="I294" s="26">
        <f t="shared" si="12"/>
        <v>0</v>
      </c>
      <c r="J294" s="75"/>
    </row>
    <row r="295" ht="22.5" customHeight="1">
      <c r="A295" s="89" t="s">
        <v>1260</v>
      </c>
      <c r="B295" s="73">
        <v>46276.0</v>
      </c>
      <c r="C295" s="91">
        <v>3.6E7</v>
      </c>
      <c r="D295" s="91">
        <v>2.8E7</v>
      </c>
      <c r="E295" s="157">
        <v>3.6E7</v>
      </c>
      <c r="F295" s="157">
        <f t="shared" si="11"/>
        <v>0</v>
      </c>
      <c r="G295" s="92" t="s">
        <v>24</v>
      </c>
      <c r="H295" s="75" t="s">
        <v>16</v>
      </c>
      <c r="I295" s="26">
        <f t="shared" si="12"/>
        <v>0</v>
      </c>
      <c r="J295" s="75" t="s">
        <v>976</v>
      </c>
    </row>
    <row r="296" ht="22.5" customHeight="1">
      <c r="A296" s="89" t="s">
        <v>1262</v>
      </c>
      <c r="B296" s="73">
        <v>46276.0</v>
      </c>
      <c r="C296" s="91">
        <v>6.0E7</v>
      </c>
      <c r="D296" s="91">
        <v>4.5E7</v>
      </c>
      <c r="E296" s="157">
        <v>5.0E7</v>
      </c>
      <c r="F296" s="157">
        <f t="shared" si="11"/>
        <v>10000000</v>
      </c>
      <c r="G296" s="92" t="s">
        <v>15</v>
      </c>
      <c r="H296" s="75" t="s">
        <v>16</v>
      </c>
      <c r="I296" s="26">
        <f t="shared" si="12"/>
        <v>0.2222222222</v>
      </c>
      <c r="J296" s="75"/>
    </row>
    <row r="297" ht="22.5" customHeight="1">
      <c r="A297" s="89" t="s">
        <v>1265</v>
      </c>
      <c r="B297" s="73">
        <v>46276.0</v>
      </c>
      <c r="C297" s="91">
        <v>5.0E7</v>
      </c>
      <c r="D297" s="91">
        <v>4.0E7</v>
      </c>
      <c r="E297" s="157">
        <v>4.25E7</v>
      </c>
      <c r="F297" s="157">
        <f t="shared" si="11"/>
        <v>7500000</v>
      </c>
      <c r="G297" s="92" t="s">
        <v>15</v>
      </c>
      <c r="H297" s="75" t="s">
        <v>16</v>
      </c>
      <c r="I297" s="26">
        <f t="shared" si="12"/>
        <v>0.1875</v>
      </c>
      <c r="J297" s="75"/>
    </row>
    <row r="298" ht="22.5" customHeight="1">
      <c r="A298" s="89" t="s">
        <v>1268</v>
      </c>
      <c r="B298" s="73">
        <v>46276.0</v>
      </c>
      <c r="C298" s="91">
        <v>4.2E7</v>
      </c>
      <c r="D298" s="91">
        <v>3.0E7</v>
      </c>
      <c r="E298" s="157">
        <v>0.0</v>
      </c>
      <c r="F298" s="157">
        <f t="shared" si="11"/>
        <v>42000000</v>
      </c>
      <c r="G298" s="92" t="s">
        <v>24</v>
      </c>
      <c r="H298" s="75" t="s">
        <v>16</v>
      </c>
      <c r="I298" s="26">
        <f t="shared" si="12"/>
        <v>1.4</v>
      </c>
      <c r="J298" s="75" t="s">
        <v>1270</v>
      </c>
    </row>
    <row r="299" ht="22.5" customHeight="1">
      <c r="A299" s="89" t="s">
        <v>1271</v>
      </c>
      <c r="B299" s="73">
        <v>46276.0</v>
      </c>
      <c r="C299" s="91">
        <v>4.2E7</v>
      </c>
      <c r="D299" s="91">
        <v>3.0E7</v>
      </c>
      <c r="E299" s="157">
        <v>4.2E7</v>
      </c>
      <c r="F299" s="157">
        <f t="shared" si="11"/>
        <v>0</v>
      </c>
      <c r="G299" s="140"/>
      <c r="H299" s="75" t="s">
        <v>16</v>
      </c>
      <c r="I299" s="26">
        <f t="shared" si="12"/>
        <v>0</v>
      </c>
      <c r="J299" s="75"/>
    </row>
    <row r="300" ht="22.5" customHeight="1">
      <c r="A300" s="89" t="s">
        <v>1273</v>
      </c>
      <c r="B300" s="73">
        <v>46283.0</v>
      </c>
      <c r="C300" s="91">
        <v>5.0E7</v>
      </c>
      <c r="D300" s="91">
        <v>4.0E7</v>
      </c>
      <c r="E300" s="157">
        <v>4.5E7</v>
      </c>
      <c r="F300" s="157">
        <f t="shared" si="11"/>
        <v>5000000</v>
      </c>
      <c r="G300" s="140"/>
      <c r="H300" s="75" t="s">
        <v>16</v>
      </c>
      <c r="I300" s="26">
        <f t="shared" si="12"/>
        <v>0.125</v>
      </c>
      <c r="J300" s="75"/>
    </row>
    <row r="301" ht="22.5" customHeight="1">
      <c r="A301" s="89" t="s">
        <v>1275</v>
      </c>
      <c r="B301" s="73">
        <v>46283.0</v>
      </c>
      <c r="C301" s="91">
        <v>7.5E7</v>
      </c>
      <c r="D301" s="91">
        <v>6.0E7</v>
      </c>
      <c r="E301" s="157">
        <v>7.0E7</v>
      </c>
      <c r="F301" s="157">
        <f t="shared" si="11"/>
        <v>5000000</v>
      </c>
      <c r="G301" s="140"/>
      <c r="H301" s="75" t="s">
        <v>16</v>
      </c>
      <c r="I301" s="26">
        <f t="shared" si="12"/>
        <v>0.08333333333</v>
      </c>
      <c r="J301" s="75"/>
    </row>
    <row r="302" ht="22.5" customHeight="1">
      <c r="A302" s="89" t="s">
        <v>1277</v>
      </c>
      <c r="B302" s="73">
        <v>46283.0</v>
      </c>
      <c r="C302" s="91">
        <v>7.5E7</v>
      </c>
      <c r="D302" s="91">
        <v>5.5E7</v>
      </c>
      <c r="E302" s="157">
        <v>7.0E7</v>
      </c>
      <c r="F302" s="157">
        <f t="shared" si="11"/>
        <v>5000000</v>
      </c>
      <c r="G302" s="140"/>
      <c r="H302" s="75" t="s">
        <v>16</v>
      </c>
      <c r="I302" s="26">
        <f t="shared" si="12"/>
        <v>0.09090909091</v>
      </c>
      <c r="J302" s="75"/>
    </row>
    <row r="303" ht="22.5" customHeight="1">
      <c r="A303" s="89" t="s">
        <v>1279</v>
      </c>
      <c r="B303" s="73">
        <v>46283.0</v>
      </c>
      <c r="C303" s="91">
        <v>4.0E7</v>
      </c>
      <c r="D303" s="91">
        <v>3.4E7</v>
      </c>
      <c r="E303" s="157">
        <v>0.0</v>
      </c>
      <c r="F303" s="157">
        <f t="shared" si="11"/>
        <v>40000000</v>
      </c>
      <c r="G303" s="92" t="s">
        <v>24</v>
      </c>
      <c r="H303" s="75" t="s">
        <v>16</v>
      </c>
      <c r="I303" s="26">
        <f t="shared" si="12"/>
        <v>1.176470588</v>
      </c>
      <c r="J303" s="75" t="s">
        <v>1282</v>
      </c>
    </row>
    <row r="304" ht="22.5" customHeight="1">
      <c r="A304" s="89" t="s">
        <v>1283</v>
      </c>
      <c r="B304" s="73">
        <v>46283.0</v>
      </c>
      <c r="C304" s="91">
        <v>3.0E7</v>
      </c>
      <c r="D304" s="91">
        <v>2.0E7</v>
      </c>
      <c r="E304" s="157">
        <v>3.0E7</v>
      </c>
      <c r="F304" s="157">
        <f t="shared" si="11"/>
        <v>0</v>
      </c>
      <c r="G304" s="140"/>
      <c r="H304" s="75" t="s">
        <v>16</v>
      </c>
      <c r="I304" s="26">
        <f t="shared" si="12"/>
        <v>0</v>
      </c>
      <c r="J304" s="75"/>
    </row>
    <row r="305" ht="22.5" customHeight="1">
      <c r="A305" s="89" t="s">
        <v>1284</v>
      </c>
      <c r="B305" s="73">
        <v>46283.0</v>
      </c>
      <c r="C305" s="91">
        <v>4.0E7</v>
      </c>
      <c r="D305" s="91">
        <v>3.0E7</v>
      </c>
      <c r="E305" s="157">
        <v>3.5E7</v>
      </c>
      <c r="F305" s="157">
        <f t="shared" si="11"/>
        <v>5000000</v>
      </c>
      <c r="G305" s="92" t="s">
        <v>38</v>
      </c>
      <c r="H305" s="75" t="s">
        <v>16</v>
      </c>
      <c r="I305" s="26">
        <f t="shared" si="12"/>
        <v>0.1666666667</v>
      </c>
      <c r="J305" s="75" t="s">
        <v>1286</v>
      </c>
    </row>
    <row r="306" ht="22.5" customHeight="1">
      <c r="A306" s="89" t="s">
        <v>1287</v>
      </c>
      <c r="B306" s="73">
        <v>46283.0</v>
      </c>
      <c r="C306" s="91">
        <v>1.3E7</v>
      </c>
      <c r="D306" s="91">
        <v>8000000.0</v>
      </c>
      <c r="E306" s="157">
        <v>1.1E7</v>
      </c>
      <c r="F306" s="157">
        <f t="shared" si="11"/>
        <v>2000000</v>
      </c>
      <c r="G306" s="140"/>
      <c r="H306" s="75" t="s">
        <v>16</v>
      </c>
      <c r="I306" s="26">
        <f t="shared" si="12"/>
        <v>0.25</v>
      </c>
      <c r="J306" s="75"/>
    </row>
    <row r="307" ht="22.5" customHeight="1">
      <c r="A307" s="89" t="s">
        <v>1289</v>
      </c>
      <c r="B307" s="73">
        <v>46283.0</v>
      </c>
      <c r="C307" s="91">
        <v>6.0E7</v>
      </c>
      <c r="D307" s="91">
        <v>5.0E7</v>
      </c>
      <c r="E307" s="157">
        <v>5.5E7</v>
      </c>
      <c r="F307" s="157">
        <f t="shared" si="11"/>
        <v>5000000</v>
      </c>
      <c r="G307" s="140"/>
      <c r="H307" s="75" t="s">
        <v>16</v>
      </c>
      <c r="I307" s="26">
        <f t="shared" si="12"/>
        <v>0.1</v>
      </c>
      <c r="J307" s="75"/>
    </row>
    <row r="308" ht="22.5" customHeight="1">
      <c r="A308" s="89" t="s">
        <v>1292</v>
      </c>
      <c r="B308" s="73">
        <v>46283.0</v>
      </c>
      <c r="C308" s="91">
        <v>1.5E7</v>
      </c>
      <c r="D308" s="91">
        <v>1.0E7</v>
      </c>
      <c r="E308" s="157">
        <v>0.0</v>
      </c>
      <c r="F308" s="157">
        <f t="shared" si="11"/>
        <v>15000000</v>
      </c>
      <c r="G308" s="92" t="s">
        <v>24</v>
      </c>
      <c r="H308" s="75" t="s">
        <v>16</v>
      </c>
      <c r="I308" s="26">
        <f t="shared" si="12"/>
        <v>1.5</v>
      </c>
      <c r="J308" s="75" t="s">
        <v>1294</v>
      </c>
    </row>
    <row r="309" ht="22.5" customHeight="1">
      <c r="A309" s="89" t="s">
        <v>1295</v>
      </c>
      <c r="B309" s="73">
        <v>46287.0</v>
      </c>
      <c r="C309" s="91">
        <v>6.5E7</v>
      </c>
      <c r="D309" s="91">
        <v>5.0E7</v>
      </c>
      <c r="E309" s="157">
        <v>5.0E7</v>
      </c>
      <c r="F309" s="157">
        <f t="shared" si="11"/>
        <v>15000000</v>
      </c>
      <c r="G309" s="92" t="s">
        <v>15</v>
      </c>
      <c r="H309" s="75" t="s">
        <v>16</v>
      </c>
      <c r="I309" s="26">
        <f t="shared" si="12"/>
        <v>0.3</v>
      </c>
      <c r="J309" s="75"/>
    </row>
    <row r="310" ht="22.5" customHeight="1">
      <c r="A310" s="89" t="s">
        <v>1298</v>
      </c>
      <c r="B310" s="73">
        <v>46287.0</v>
      </c>
      <c r="C310" s="91">
        <v>5.5E7</v>
      </c>
      <c r="D310" s="91">
        <v>4.0E7</v>
      </c>
      <c r="E310" s="157">
        <v>5.0E7</v>
      </c>
      <c r="F310" s="157">
        <f t="shared" si="11"/>
        <v>5000000</v>
      </c>
      <c r="G310" s="92"/>
      <c r="H310" s="75" t="s">
        <v>16</v>
      </c>
      <c r="I310" s="26">
        <f t="shared" si="12"/>
        <v>0.125</v>
      </c>
      <c r="J310" s="75"/>
    </row>
    <row r="311" ht="22.5" customHeight="1">
      <c r="A311" s="89" t="s">
        <v>1301</v>
      </c>
      <c r="B311" s="73">
        <v>46287.0</v>
      </c>
      <c r="C311" s="91">
        <v>4.5E7</v>
      </c>
      <c r="D311" s="91">
        <v>3.0E7</v>
      </c>
      <c r="E311" s="157">
        <v>3.0E7</v>
      </c>
      <c r="F311" s="157">
        <f t="shared" si="11"/>
        <v>15000000</v>
      </c>
      <c r="G311" s="92" t="s">
        <v>15</v>
      </c>
      <c r="H311" s="75" t="s">
        <v>16</v>
      </c>
      <c r="I311" s="26">
        <f t="shared" si="12"/>
        <v>0.5</v>
      </c>
      <c r="J311" s="75"/>
    </row>
    <row r="312" ht="22.5" customHeight="1">
      <c r="A312" s="89" t="s">
        <v>1303</v>
      </c>
      <c r="B312" s="73">
        <v>46287.0</v>
      </c>
      <c r="C312" s="91">
        <v>7.5E7</v>
      </c>
      <c r="D312" s="91">
        <v>5.5E7</v>
      </c>
      <c r="E312" s="157">
        <v>5.5E7</v>
      </c>
      <c r="F312" s="157">
        <f t="shared" si="11"/>
        <v>20000000</v>
      </c>
      <c r="G312" s="92" t="s">
        <v>15</v>
      </c>
      <c r="H312" s="75" t="s">
        <v>16</v>
      </c>
      <c r="I312" s="26">
        <f t="shared" si="12"/>
        <v>0.3636363636</v>
      </c>
      <c r="J312" s="75"/>
    </row>
    <row r="313" ht="22.5" customHeight="1">
      <c r="A313" s="89" t="s">
        <v>1307</v>
      </c>
      <c r="B313" s="73">
        <v>46287.0</v>
      </c>
      <c r="C313" s="91">
        <v>5.0E7</v>
      </c>
      <c r="D313" s="91">
        <v>4.0E7</v>
      </c>
      <c r="E313" s="157">
        <v>4.0E7</v>
      </c>
      <c r="F313" s="157">
        <f t="shared" si="11"/>
        <v>10000000</v>
      </c>
      <c r="G313" s="92" t="s">
        <v>15</v>
      </c>
      <c r="H313" s="75" t="s">
        <v>16</v>
      </c>
      <c r="I313" s="26">
        <f t="shared" si="12"/>
        <v>0.25</v>
      </c>
      <c r="J313" s="75"/>
    </row>
    <row r="314" ht="22.5" customHeight="1">
      <c r="A314" s="89" t="s">
        <v>1309</v>
      </c>
      <c r="B314" s="73">
        <v>46287.0</v>
      </c>
      <c r="C314" s="91">
        <v>3.5E7</v>
      </c>
      <c r="D314" s="91">
        <v>2.6E7</v>
      </c>
      <c r="E314" s="157">
        <v>3.0E7</v>
      </c>
      <c r="F314" s="157">
        <f t="shared" si="11"/>
        <v>5000000</v>
      </c>
      <c r="G314" s="92" t="s">
        <v>38</v>
      </c>
      <c r="H314" s="75" t="s">
        <v>16</v>
      </c>
      <c r="I314" s="26">
        <f t="shared" si="12"/>
        <v>0.1923076923</v>
      </c>
      <c r="J314" s="75" t="s">
        <v>1286</v>
      </c>
    </row>
    <row r="315" ht="22.5" customHeight="1">
      <c r="A315" s="89" t="s">
        <v>1310</v>
      </c>
      <c r="B315" s="73">
        <v>46287.0</v>
      </c>
      <c r="C315" s="91">
        <v>3.0E7</v>
      </c>
      <c r="D315" s="91">
        <v>2.2E7</v>
      </c>
      <c r="E315" s="157">
        <v>3.0E7</v>
      </c>
      <c r="F315" s="157">
        <f t="shared" si="11"/>
        <v>0</v>
      </c>
      <c r="G315" s="92" t="s">
        <v>38</v>
      </c>
      <c r="H315" s="75" t="s">
        <v>16</v>
      </c>
      <c r="I315" s="26">
        <f t="shared" si="12"/>
        <v>0</v>
      </c>
      <c r="J315" s="75" t="s">
        <v>1216</v>
      </c>
    </row>
    <row r="316" ht="22.5" customHeight="1">
      <c r="A316" s="89" t="s">
        <v>1312</v>
      </c>
      <c r="B316" s="73">
        <v>46287.0</v>
      </c>
      <c r="C316" s="91">
        <v>2.2E7</v>
      </c>
      <c r="D316" s="91">
        <v>1.75E7</v>
      </c>
      <c r="E316" s="157">
        <v>2.2E7</v>
      </c>
      <c r="F316" s="157">
        <f t="shared" si="11"/>
        <v>0</v>
      </c>
      <c r="G316" s="92" t="s">
        <v>38</v>
      </c>
      <c r="H316" s="75" t="s">
        <v>16</v>
      </c>
      <c r="I316" s="26">
        <f t="shared" si="12"/>
        <v>0</v>
      </c>
      <c r="J316" s="75" t="s">
        <v>1286</v>
      </c>
    </row>
    <row r="317" ht="22.5" customHeight="1">
      <c r="A317" s="89" t="s">
        <v>1314</v>
      </c>
      <c r="B317" s="73">
        <v>46287.0</v>
      </c>
      <c r="C317" s="91">
        <v>4.0E7</v>
      </c>
      <c r="D317" s="91">
        <v>3.2E7</v>
      </c>
      <c r="E317" s="157">
        <v>4.0E7</v>
      </c>
      <c r="F317" s="157">
        <f t="shared" si="11"/>
        <v>0</v>
      </c>
      <c r="G317" s="92"/>
      <c r="H317" s="75" t="s">
        <v>16</v>
      </c>
      <c r="I317" s="26">
        <f t="shared" si="12"/>
        <v>0</v>
      </c>
      <c r="J317" s="75"/>
    </row>
    <row r="318" ht="22.5" customHeight="1">
      <c r="A318" s="89" t="s">
        <v>1316</v>
      </c>
      <c r="B318" s="73">
        <v>46287.0</v>
      </c>
      <c r="C318" s="91">
        <v>1.25E8</v>
      </c>
      <c r="D318" s="91">
        <v>9.0E7</v>
      </c>
      <c r="E318" s="157">
        <v>1.0E8</v>
      </c>
      <c r="F318" s="157">
        <f t="shared" si="11"/>
        <v>25000000</v>
      </c>
      <c r="G318" s="92"/>
      <c r="H318" s="75" t="s">
        <v>16</v>
      </c>
      <c r="I318" s="26">
        <f t="shared" si="12"/>
        <v>0.2777777778</v>
      </c>
      <c r="J318" s="75"/>
    </row>
    <row r="319">
      <c r="A319" s="168"/>
      <c r="B319" s="168"/>
      <c r="C319" s="169"/>
      <c r="D319" s="169"/>
      <c r="E319" s="169"/>
      <c r="F319" s="168"/>
      <c r="G319" s="168"/>
      <c r="H319" s="168"/>
      <c r="I319" s="170"/>
      <c r="J319" s="168"/>
    </row>
    <row r="320">
      <c r="A320" s="168"/>
      <c r="B320" s="168"/>
      <c r="C320" s="169"/>
      <c r="D320" s="169"/>
      <c r="E320" s="169"/>
      <c r="F320" s="168"/>
      <c r="G320" s="168"/>
      <c r="H320" s="168"/>
      <c r="I320" s="170"/>
      <c r="J320" s="168"/>
    </row>
    <row r="321">
      <c r="C321" s="171"/>
      <c r="D321" s="171"/>
      <c r="E321" s="171"/>
      <c r="I321" s="172"/>
    </row>
    <row r="322">
      <c r="C322" s="171"/>
      <c r="D322" s="171"/>
      <c r="E322" s="171"/>
      <c r="I322" s="172"/>
    </row>
    <row r="323">
      <c r="C323" s="171"/>
      <c r="D323" s="171"/>
      <c r="E323" s="171"/>
      <c r="I323" s="172"/>
    </row>
    <row r="324">
      <c r="C324" s="171"/>
      <c r="D324" s="171"/>
      <c r="E324" s="171"/>
      <c r="I324" s="172"/>
    </row>
    <row r="325">
      <c r="C325" s="171"/>
      <c r="D325" s="171"/>
      <c r="E325" s="171"/>
      <c r="I325" s="172"/>
    </row>
    <row r="326">
      <c r="C326" s="171"/>
      <c r="D326" s="171"/>
      <c r="E326" s="171"/>
      <c r="I326" s="172"/>
    </row>
    <row r="327">
      <c r="C327" s="171"/>
      <c r="D327" s="171"/>
      <c r="E327" s="171"/>
      <c r="I327" s="172"/>
    </row>
    <row r="328">
      <c r="C328" s="171"/>
      <c r="D328" s="171"/>
      <c r="E328" s="171"/>
      <c r="I328" s="172"/>
    </row>
    <row r="329">
      <c r="C329" s="171"/>
      <c r="D329" s="171"/>
      <c r="E329" s="171"/>
      <c r="I329" s="172"/>
    </row>
    <row r="330">
      <c r="C330" s="171"/>
      <c r="D330" s="171"/>
      <c r="E330" s="171"/>
      <c r="I330" s="172"/>
    </row>
    <row r="331">
      <c r="C331" s="171"/>
      <c r="D331" s="171"/>
      <c r="E331" s="171"/>
      <c r="I331" s="172"/>
    </row>
    <row r="332">
      <c r="C332" s="171"/>
      <c r="D332" s="171"/>
      <c r="E332" s="171"/>
      <c r="I332" s="172"/>
    </row>
    <row r="333">
      <c r="C333" s="171"/>
      <c r="D333" s="171"/>
      <c r="E333" s="171"/>
      <c r="I333" s="172"/>
    </row>
    <row r="334">
      <c r="C334" s="171"/>
      <c r="D334" s="171"/>
      <c r="E334" s="171"/>
      <c r="I334" s="172"/>
    </row>
    <row r="335">
      <c r="C335" s="171"/>
      <c r="D335" s="171"/>
      <c r="E335" s="171"/>
      <c r="I335" s="172"/>
    </row>
    <row r="336">
      <c r="C336" s="171"/>
      <c r="D336" s="171"/>
      <c r="E336" s="171"/>
      <c r="I336" s="172"/>
    </row>
    <row r="337">
      <c r="C337" s="171"/>
      <c r="D337" s="171"/>
      <c r="E337" s="171"/>
      <c r="I337" s="172"/>
    </row>
    <row r="338">
      <c r="C338" s="171"/>
      <c r="D338" s="171"/>
      <c r="E338" s="171"/>
      <c r="I338" s="172"/>
    </row>
    <row r="339">
      <c r="C339" s="171"/>
      <c r="D339" s="171"/>
      <c r="E339" s="171"/>
      <c r="I339" s="172"/>
    </row>
    <row r="340">
      <c r="C340" s="171"/>
      <c r="D340" s="171"/>
      <c r="E340" s="171"/>
      <c r="I340" s="172"/>
    </row>
    <row r="341">
      <c r="C341" s="171"/>
      <c r="D341" s="171"/>
      <c r="E341" s="171"/>
      <c r="I341" s="172"/>
    </row>
    <row r="342">
      <c r="C342" s="171"/>
      <c r="D342" s="171"/>
      <c r="E342" s="171"/>
      <c r="I342" s="172"/>
    </row>
    <row r="343">
      <c r="C343" s="171"/>
      <c r="D343" s="171"/>
      <c r="E343" s="171"/>
      <c r="I343" s="172"/>
    </row>
    <row r="344">
      <c r="C344" s="171"/>
      <c r="D344" s="171"/>
      <c r="E344" s="171"/>
      <c r="I344" s="172"/>
    </row>
    <row r="345">
      <c r="C345" s="171"/>
      <c r="D345" s="171"/>
      <c r="E345" s="171"/>
      <c r="I345" s="172"/>
    </row>
    <row r="346">
      <c r="C346" s="171"/>
      <c r="D346" s="171"/>
      <c r="E346" s="171"/>
      <c r="I346" s="172"/>
    </row>
    <row r="347">
      <c r="C347" s="171"/>
      <c r="D347" s="171"/>
      <c r="E347" s="171"/>
      <c r="I347" s="172"/>
    </row>
    <row r="348">
      <c r="C348" s="171"/>
      <c r="D348" s="171"/>
      <c r="E348" s="171"/>
      <c r="I348" s="172"/>
    </row>
    <row r="349">
      <c r="C349" s="171"/>
      <c r="D349" s="171"/>
      <c r="E349" s="171"/>
      <c r="I349" s="172"/>
    </row>
    <row r="350">
      <c r="C350" s="171"/>
      <c r="D350" s="171"/>
      <c r="E350" s="171"/>
      <c r="I350" s="172"/>
    </row>
    <row r="351">
      <c r="C351" s="171"/>
      <c r="D351" s="171"/>
      <c r="E351" s="171"/>
      <c r="I351" s="172"/>
    </row>
    <row r="352">
      <c r="C352" s="171"/>
      <c r="D352" s="171"/>
      <c r="E352" s="171"/>
      <c r="I352" s="172"/>
    </row>
    <row r="353">
      <c r="C353" s="171"/>
      <c r="D353" s="171"/>
      <c r="E353" s="171"/>
      <c r="I353" s="172"/>
    </row>
    <row r="354">
      <c r="C354" s="171"/>
      <c r="D354" s="171"/>
      <c r="E354" s="171"/>
      <c r="I354" s="172"/>
    </row>
    <row r="355">
      <c r="C355" s="171"/>
      <c r="D355" s="171"/>
      <c r="E355" s="171"/>
      <c r="I355" s="172"/>
    </row>
    <row r="356">
      <c r="C356" s="171"/>
      <c r="D356" s="171"/>
      <c r="E356" s="171"/>
      <c r="I356" s="172"/>
    </row>
    <row r="357">
      <c r="C357" s="171"/>
      <c r="D357" s="171"/>
      <c r="E357" s="171"/>
      <c r="I357" s="172"/>
    </row>
    <row r="358">
      <c r="C358" s="171"/>
      <c r="D358" s="171"/>
      <c r="E358" s="171"/>
      <c r="I358" s="172"/>
    </row>
    <row r="359">
      <c r="C359" s="171"/>
      <c r="D359" s="171"/>
      <c r="E359" s="171"/>
      <c r="I359" s="172"/>
    </row>
    <row r="360">
      <c r="C360" s="171"/>
      <c r="D360" s="171"/>
      <c r="E360" s="171"/>
      <c r="I360" s="172"/>
    </row>
    <row r="361">
      <c r="C361" s="171"/>
      <c r="D361" s="171"/>
      <c r="E361" s="171"/>
      <c r="I361" s="172"/>
    </row>
    <row r="362">
      <c r="C362" s="171"/>
      <c r="D362" s="171"/>
      <c r="E362" s="171"/>
      <c r="I362" s="172"/>
    </row>
    <row r="363">
      <c r="C363" s="171"/>
      <c r="D363" s="171"/>
      <c r="E363" s="171"/>
      <c r="I363" s="172"/>
    </row>
    <row r="364">
      <c r="C364" s="171"/>
      <c r="D364" s="171"/>
      <c r="E364" s="171"/>
      <c r="I364" s="172"/>
    </row>
    <row r="365">
      <c r="C365" s="171"/>
      <c r="D365" s="171"/>
      <c r="E365" s="171"/>
      <c r="I365" s="172"/>
    </row>
    <row r="366">
      <c r="C366" s="171"/>
      <c r="D366" s="171"/>
      <c r="E366" s="171"/>
      <c r="I366" s="172"/>
    </row>
    <row r="367">
      <c r="C367" s="171"/>
      <c r="D367" s="171"/>
      <c r="E367" s="171"/>
      <c r="I367" s="172"/>
    </row>
    <row r="368">
      <c r="C368" s="171"/>
      <c r="D368" s="171"/>
      <c r="E368" s="171"/>
      <c r="I368" s="172"/>
    </row>
    <row r="369">
      <c r="C369" s="171"/>
      <c r="D369" s="171"/>
      <c r="E369" s="171"/>
      <c r="I369" s="172"/>
    </row>
    <row r="370">
      <c r="C370" s="171"/>
      <c r="D370" s="171"/>
      <c r="E370" s="171"/>
      <c r="I370" s="172"/>
    </row>
    <row r="371">
      <c r="C371" s="171"/>
      <c r="D371" s="171"/>
      <c r="E371" s="171"/>
      <c r="I371" s="172"/>
    </row>
    <row r="372">
      <c r="C372" s="171"/>
      <c r="D372" s="171"/>
      <c r="E372" s="171"/>
      <c r="I372" s="172"/>
    </row>
    <row r="373">
      <c r="C373" s="171"/>
      <c r="D373" s="171"/>
      <c r="E373" s="171"/>
      <c r="I373" s="172"/>
    </row>
    <row r="374">
      <c r="C374" s="171"/>
      <c r="D374" s="171"/>
      <c r="E374" s="171"/>
      <c r="I374" s="172"/>
    </row>
    <row r="375">
      <c r="C375" s="171"/>
      <c r="D375" s="171"/>
      <c r="E375" s="171"/>
      <c r="I375" s="172"/>
    </row>
    <row r="376">
      <c r="C376" s="171"/>
      <c r="D376" s="171"/>
      <c r="E376" s="171"/>
      <c r="I376" s="172"/>
    </row>
    <row r="377">
      <c r="C377" s="171"/>
      <c r="D377" s="171"/>
      <c r="E377" s="171"/>
      <c r="I377" s="172"/>
    </row>
    <row r="378">
      <c r="C378" s="171"/>
      <c r="D378" s="171"/>
      <c r="E378" s="171"/>
      <c r="I378" s="172"/>
    </row>
    <row r="379">
      <c r="C379" s="171"/>
      <c r="D379" s="171"/>
      <c r="E379" s="171"/>
      <c r="I379" s="172"/>
    </row>
    <row r="380">
      <c r="C380" s="171"/>
      <c r="D380" s="171"/>
      <c r="E380" s="171"/>
      <c r="I380" s="172"/>
    </row>
    <row r="381">
      <c r="C381" s="171"/>
      <c r="D381" s="171"/>
      <c r="E381" s="171"/>
      <c r="I381" s="172"/>
    </row>
    <row r="382">
      <c r="C382" s="171"/>
      <c r="D382" s="171"/>
      <c r="E382" s="171"/>
      <c r="I382" s="172"/>
    </row>
    <row r="383">
      <c r="C383" s="171"/>
      <c r="D383" s="171"/>
      <c r="E383" s="171"/>
      <c r="I383" s="172"/>
    </row>
    <row r="384">
      <c r="C384" s="171"/>
      <c r="D384" s="171"/>
      <c r="E384" s="171"/>
      <c r="I384" s="172"/>
    </row>
    <row r="385">
      <c r="C385" s="171"/>
      <c r="D385" s="171"/>
      <c r="E385" s="171"/>
      <c r="I385" s="172"/>
    </row>
    <row r="386">
      <c r="C386" s="171"/>
      <c r="D386" s="171"/>
      <c r="E386" s="171"/>
      <c r="I386" s="172"/>
    </row>
    <row r="387">
      <c r="C387" s="171"/>
      <c r="D387" s="171"/>
      <c r="E387" s="171"/>
      <c r="I387" s="172"/>
    </row>
    <row r="388">
      <c r="C388" s="171"/>
      <c r="D388" s="171"/>
      <c r="E388" s="171"/>
      <c r="I388" s="172"/>
    </row>
    <row r="389">
      <c r="C389" s="171"/>
      <c r="D389" s="171"/>
      <c r="E389" s="171"/>
      <c r="I389" s="172"/>
    </row>
    <row r="390">
      <c r="C390" s="171"/>
      <c r="D390" s="171"/>
      <c r="E390" s="171"/>
      <c r="I390" s="172"/>
    </row>
    <row r="391">
      <c r="C391" s="171"/>
      <c r="D391" s="171"/>
      <c r="E391" s="171"/>
      <c r="I391" s="172"/>
    </row>
    <row r="392">
      <c r="C392" s="171"/>
      <c r="D392" s="171"/>
      <c r="E392" s="171"/>
      <c r="I392" s="172"/>
    </row>
    <row r="393">
      <c r="C393" s="171"/>
      <c r="D393" s="171"/>
      <c r="E393" s="171"/>
      <c r="I393" s="172"/>
    </row>
    <row r="394">
      <c r="C394" s="171"/>
      <c r="D394" s="171"/>
      <c r="E394" s="171"/>
      <c r="I394" s="172"/>
    </row>
    <row r="395">
      <c r="C395" s="171"/>
      <c r="D395" s="171"/>
      <c r="E395" s="171"/>
      <c r="I395" s="172"/>
    </row>
    <row r="396">
      <c r="C396" s="171"/>
      <c r="D396" s="171"/>
      <c r="E396" s="171"/>
      <c r="I396" s="172"/>
    </row>
    <row r="397">
      <c r="C397" s="171"/>
      <c r="D397" s="171"/>
      <c r="E397" s="171"/>
      <c r="I397" s="172"/>
    </row>
    <row r="398">
      <c r="C398" s="171"/>
      <c r="D398" s="171"/>
      <c r="E398" s="171"/>
      <c r="I398" s="172"/>
    </row>
    <row r="399">
      <c r="C399" s="171"/>
      <c r="D399" s="171"/>
      <c r="E399" s="171"/>
      <c r="I399" s="172"/>
    </row>
    <row r="400">
      <c r="C400" s="171"/>
      <c r="D400" s="171"/>
      <c r="E400" s="171"/>
      <c r="I400" s="172"/>
    </row>
    <row r="401">
      <c r="C401" s="171"/>
      <c r="D401" s="171"/>
      <c r="E401" s="171"/>
      <c r="I401" s="172"/>
    </row>
    <row r="402">
      <c r="C402" s="171"/>
      <c r="D402" s="171"/>
      <c r="E402" s="171"/>
      <c r="I402" s="172"/>
    </row>
    <row r="403">
      <c r="C403" s="171"/>
      <c r="D403" s="171"/>
      <c r="E403" s="171"/>
      <c r="I403" s="172"/>
    </row>
    <row r="404">
      <c r="C404" s="171"/>
      <c r="D404" s="171"/>
      <c r="E404" s="171"/>
      <c r="I404" s="172"/>
    </row>
    <row r="405">
      <c r="C405" s="171"/>
      <c r="D405" s="171"/>
      <c r="E405" s="171"/>
      <c r="I405" s="172"/>
    </row>
    <row r="406">
      <c r="C406" s="171"/>
      <c r="D406" s="171"/>
      <c r="E406" s="171"/>
      <c r="I406" s="172"/>
    </row>
    <row r="407">
      <c r="C407" s="171"/>
      <c r="D407" s="171"/>
      <c r="E407" s="171"/>
      <c r="I407" s="172"/>
    </row>
    <row r="408">
      <c r="C408" s="171"/>
      <c r="D408" s="171"/>
      <c r="E408" s="171"/>
      <c r="I408" s="172"/>
    </row>
    <row r="409">
      <c r="C409" s="171"/>
      <c r="D409" s="171"/>
      <c r="E409" s="171"/>
      <c r="I409" s="172"/>
    </row>
    <row r="410">
      <c r="C410" s="171"/>
      <c r="D410" s="171"/>
      <c r="E410" s="171"/>
      <c r="I410" s="172"/>
    </row>
    <row r="411">
      <c r="C411" s="171"/>
      <c r="D411" s="171"/>
      <c r="E411" s="171"/>
      <c r="I411" s="172"/>
    </row>
    <row r="412">
      <c r="C412" s="171"/>
      <c r="D412" s="171"/>
      <c r="E412" s="171"/>
      <c r="I412" s="172"/>
    </row>
    <row r="413">
      <c r="C413" s="171"/>
      <c r="D413" s="171"/>
      <c r="E413" s="171"/>
      <c r="I413" s="172"/>
    </row>
    <row r="414">
      <c r="C414" s="171"/>
      <c r="D414" s="171"/>
      <c r="E414" s="171"/>
      <c r="I414" s="172"/>
    </row>
    <row r="415">
      <c r="C415" s="171"/>
      <c r="D415" s="171"/>
      <c r="E415" s="171"/>
      <c r="I415" s="172"/>
    </row>
    <row r="416">
      <c r="C416" s="171"/>
      <c r="D416" s="171"/>
      <c r="E416" s="171"/>
      <c r="I416" s="172"/>
    </row>
    <row r="417">
      <c r="C417" s="171"/>
      <c r="D417" s="171"/>
      <c r="E417" s="171"/>
      <c r="I417" s="172"/>
    </row>
    <row r="418">
      <c r="C418" s="171"/>
      <c r="D418" s="171"/>
      <c r="E418" s="171"/>
      <c r="I418" s="172"/>
    </row>
    <row r="419">
      <c r="C419" s="171"/>
      <c r="D419" s="171"/>
      <c r="E419" s="171"/>
      <c r="I419" s="172"/>
    </row>
    <row r="420">
      <c r="C420" s="171"/>
      <c r="D420" s="171"/>
      <c r="E420" s="171"/>
      <c r="I420" s="172"/>
    </row>
    <row r="421">
      <c r="C421" s="171"/>
      <c r="D421" s="171"/>
      <c r="E421" s="171"/>
      <c r="I421" s="172"/>
    </row>
    <row r="422">
      <c r="C422" s="171"/>
      <c r="D422" s="171"/>
      <c r="E422" s="171"/>
      <c r="I422" s="172"/>
    </row>
    <row r="423">
      <c r="C423" s="171"/>
      <c r="D423" s="171"/>
      <c r="E423" s="171"/>
      <c r="I423" s="172"/>
    </row>
    <row r="424">
      <c r="C424" s="171"/>
      <c r="D424" s="171"/>
      <c r="E424" s="171"/>
      <c r="I424" s="172"/>
    </row>
    <row r="425">
      <c r="C425" s="171"/>
      <c r="D425" s="171"/>
      <c r="E425" s="171"/>
      <c r="I425" s="172"/>
    </row>
    <row r="426">
      <c r="C426" s="171"/>
      <c r="D426" s="171"/>
      <c r="E426" s="171"/>
      <c r="I426" s="172"/>
    </row>
    <row r="427">
      <c r="C427" s="171"/>
      <c r="D427" s="171"/>
      <c r="E427" s="171"/>
      <c r="I427" s="172"/>
    </row>
    <row r="428">
      <c r="C428" s="171"/>
      <c r="D428" s="171"/>
      <c r="E428" s="171"/>
      <c r="I428" s="172"/>
    </row>
    <row r="429">
      <c r="C429" s="171"/>
      <c r="D429" s="171"/>
      <c r="E429" s="171"/>
      <c r="I429" s="172"/>
    </row>
    <row r="430">
      <c r="C430" s="171"/>
      <c r="D430" s="171"/>
      <c r="E430" s="171"/>
      <c r="I430" s="172"/>
    </row>
    <row r="431">
      <c r="C431" s="171"/>
      <c r="D431" s="171"/>
      <c r="E431" s="171"/>
      <c r="I431" s="172"/>
    </row>
    <row r="432">
      <c r="C432" s="171"/>
      <c r="D432" s="171"/>
      <c r="E432" s="171"/>
      <c r="I432" s="172"/>
    </row>
    <row r="433">
      <c r="C433" s="171"/>
      <c r="D433" s="171"/>
      <c r="E433" s="171"/>
      <c r="I433" s="172"/>
    </row>
    <row r="434">
      <c r="C434" s="171"/>
      <c r="D434" s="171"/>
      <c r="E434" s="171"/>
      <c r="I434" s="172"/>
    </row>
    <row r="435">
      <c r="C435" s="171"/>
      <c r="D435" s="171"/>
      <c r="E435" s="171"/>
      <c r="I435" s="172"/>
    </row>
    <row r="436">
      <c r="C436" s="171"/>
      <c r="D436" s="171"/>
      <c r="E436" s="171"/>
      <c r="I436" s="172"/>
    </row>
    <row r="437">
      <c r="C437" s="171"/>
      <c r="D437" s="171"/>
      <c r="E437" s="171"/>
      <c r="I437" s="172"/>
    </row>
    <row r="438">
      <c r="C438" s="171"/>
      <c r="D438" s="171"/>
      <c r="E438" s="171"/>
      <c r="I438" s="172"/>
    </row>
    <row r="439">
      <c r="C439" s="171"/>
      <c r="D439" s="171"/>
      <c r="E439" s="171"/>
      <c r="I439" s="172"/>
    </row>
    <row r="440">
      <c r="C440" s="171"/>
      <c r="D440" s="171"/>
      <c r="E440" s="171"/>
      <c r="I440" s="172"/>
    </row>
    <row r="441">
      <c r="C441" s="171"/>
      <c r="D441" s="171"/>
      <c r="E441" s="171"/>
      <c r="I441" s="172"/>
    </row>
    <row r="442">
      <c r="C442" s="171"/>
      <c r="D442" s="171"/>
      <c r="E442" s="171"/>
      <c r="I442" s="172"/>
    </row>
    <row r="443">
      <c r="C443" s="171"/>
      <c r="D443" s="171"/>
      <c r="E443" s="171"/>
      <c r="I443" s="172"/>
    </row>
    <row r="444">
      <c r="C444" s="171"/>
      <c r="D444" s="171"/>
      <c r="E444" s="171"/>
      <c r="I444" s="172"/>
    </row>
    <row r="445">
      <c r="C445" s="171"/>
      <c r="D445" s="171"/>
      <c r="E445" s="171"/>
      <c r="I445" s="172"/>
    </row>
    <row r="446">
      <c r="C446" s="171"/>
      <c r="D446" s="171"/>
      <c r="E446" s="171"/>
      <c r="I446" s="172"/>
    </row>
    <row r="447">
      <c r="C447" s="171"/>
      <c r="D447" s="171"/>
      <c r="E447" s="171"/>
      <c r="I447" s="172"/>
    </row>
    <row r="448">
      <c r="C448" s="171"/>
      <c r="D448" s="171"/>
      <c r="E448" s="171"/>
      <c r="I448" s="172"/>
    </row>
    <row r="449">
      <c r="C449" s="171"/>
      <c r="D449" s="171"/>
      <c r="E449" s="171"/>
      <c r="I449" s="172"/>
    </row>
    <row r="450">
      <c r="C450" s="171"/>
      <c r="D450" s="171"/>
      <c r="E450" s="171"/>
      <c r="I450" s="172"/>
    </row>
    <row r="451">
      <c r="C451" s="171"/>
      <c r="D451" s="171"/>
      <c r="E451" s="171"/>
      <c r="I451" s="172"/>
    </row>
    <row r="452">
      <c r="C452" s="171"/>
      <c r="D452" s="171"/>
      <c r="E452" s="171"/>
      <c r="I452" s="172"/>
    </row>
    <row r="453">
      <c r="C453" s="171"/>
      <c r="D453" s="171"/>
      <c r="E453" s="171"/>
      <c r="I453" s="172"/>
    </row>
    <row r="454">
      <c r="C454" s="171"/>
      <c r="D454" s="171"/>
      <c r="E454" s="171"/>
      <c r="I454" s="172"/>
    </row>
    <row r="455">
      <c r="C455" s="171"/>
      <c r="D455" s="171"/>
      <c r="E455" s="171"/>
      <c r="I455" s="172"/>
    </row>
    <row r="456">
      <c r="C456" s="171"/>
      <c r="D456" s="171"/>
      <c r="E456" s="171"/>
      <c r="I456" s="172"/>
    </row>
    <row r="457">
      <c r="C457" s="171"/>
      <c r="D457" s="171"/>
      <c r="E457" s="171"/>
      <c r="I457" s="172"/>
    </row>
    <row r="458">
      <c r="C458" s="171"/>
      <c r="D458" s="171"/>
      <c r="E458" s="171"/>
      <c r="I458" s="172"/>
    </row>
    <row r="459">
      <c r="C459" s="171"/>
      <c r="D459" s="171"/>
      <c r="E459" s="171"/>
      <c r="I459" s="172"/>
    </row>
    <row r="460">
      <c r="C460" s="171"/>
      <c r="D460" s="171"/>
      <c r="E460" s="171"/>
      <c r="I460" s="172"/>
    </row>
    <row r="461">
      <c r="C461" s="171"/>
      <c r="D461" s="171"/>
      <c r="E461" s="171"/>
      <c r="I461" s="172"/>
    </row>
    <row r="462">
      <c r="C462" s="171"/>
      <c r="D462" s="171"/>
      <c r="E462" s="171"/>
      <c r="I462" s="172"/>
    </row>
    <row r="463">
      <c r="C463" s="171"/>
      <c r="D463" s="171"/>
      <c r="E463" s="171"/>
      <c r="I463" s="172"/>
    </row>
    <row r="464">
      <c r="C464" s="171"/>
      <c r="D464" s="171"/>
      <c r="E464" s="171"/>
      <c r="I464" s="172"/>
    </row>
    <row r="465">
      <c r="C465" s="171"/>
      <c r="D465" s="171"/>
      <c r="E465" s="171"/>
      <c r="I465" s="172"/>
    </row>
    <row r="466">
      <c r="C466" s="171"/>
      <c r="D466" s="171"/>
      <c r="E466" s="171"/>
      <c r="I466" s="172"/>
    </row>
    <row r="467">
      <c r="C467" s="171"/>
      <c r="D467" s="171"/>
      <c r="E467" s="171"/>
      <c r="I467" s="172"/>
    </row>
    <row r="468">
      <c r="C468" s="171"/>
      <c r="D468" s="171"/>
      <c r="E468" s="171"/>
      <c r="I468" s="172"/>
    </row>
    <row r="469">
      <c r="C469" s="171"/>
      <c r="D469" s="171"/>
      <c r="E469" s="171"/>
      <c r="I469" s="172"/>
    </row>
    <row r="470">
      <c r="C470" s="171"/>
      <c r="D470" s="171"/>
      <c r="E470" s="171"/>
      <c r="I470" s="172"/>
    </row>
    <row r="471">
      <c r="C471" s="171"/>
      <c r="D471" s="171"/>
      <c r="E471" s="171"/>
      <c r="I471" s="172"/>
    </row>
    <row r="472">
      <c r="C472" s="171"/>
      <c r="D472" s="171"/>
      <c r="E472" s="171"/>
      <c r="I472" s="172"/>
    </row>
    <row r="473">
      <c r="C473" s="171"/>
      <c r="D473" s="171"/>
      <c r="E473" s="171"/>
      <c r="I473" s="172"/>
    </row>
    <row r="474">
      <c r="C474" s="171"/>
      <c r="D474" s="171"/>
      <c r="E474" s="171"/>
      <c r="I474" s="172"/>
    </row>
    <row r="475">
      <c r="C475" s="171"/>
      <c r="D475" s="171"/>
      <c r="E475" s="171"/>
      <c r="I475" s="172"/>
    </row>
    <row r="476">
      <c r="C476" s="171"/>
      <c r="D476" s="171"/>
      <c r="E476" s="171"/>
      <c r="I476" s="172"/>
    </row>
    <row r="477">
      <c r="C477" s="171"/>
      <c r="D477" s="171"/>
      <c r="E477" s="171"/>
      <c r="I477" s="172"/>
    </row>
    <row r="478">
      <c r="C478" s="171"/>
      <c r="D478" s="171"/>
      <c r="E478" s="171"/>
      <c r="I478" s="172"/>
    </row>
    <row r="479">
      <c r="C479" s="171"/>
      <c r="D479" s="171"/>
      <c r="E479" s="171"/>
      <c r="I479" s="172"/>
    </row>
    <row r="480">
      <c r="C480" s="171"/>
      <c r="D480" s="171"/>
      <c r="E480" s="171"/>
      <c r="I480" s="172"/>
    </row>
    <row r="481">
      <c r="C481" s="171"/>
      <c r="D481" s="171"/>
      <c r="E481" s="171"/>
      <c r="I481" s="172"/>
    </row>
    <row r="482">
      <c r="C482" s="171"/>
      <c r="D482" s="171"/>
      <c r="E482" s="171"/>
      <c r="I482" s="172"/>
    </row>
    <row r="483">
      <c r="C483" s="171"/>
      <c r="D483" s="171"/>
      <c r="E483" s="171"/>
      <c r="I483" s="172"/>
    </row>
    <row r="484">
      <c r="C484" s="171"/>
      <c r="D484" s="171"/>
      <c r="E484" s="171"/>
      <c r="I484" s="172"/>
    </row>
    <row r="485">
      <c r="C485" s="171"/>
      <c r="D485" s="171"/>
      <c r="E485" s="171"/>
      <c r="I485" s="172"/>
    </row>
    <row r="486">
      <c r="C486" s="171"/>
      <c r="D486" s="171"/>
      <c r="E486" s="171"/>
      <c r="I486" s="172"/>
    </row>
    <row r="487">
      <c r="C487" s="171"/>
      <c r="D487" s="171"/>
      <c r="E487" s="171"/>
      <c r="I487" s="172"/>
    </row>
    <row r="488">
      <c r="C488" s="171"/>
      <c r="D488" s="171"/>
      <c r="E488" s="171"/>
      <c r="I488" s="172"/>
    </row>
    <row r="489">
      <c r="C489" s="171"/>
      <c r="D489" s="171"/>
      <c r="E489" s="171"/>
      <c r="I489" s="172"/>
    </row>
    <row r="490">
      <c r="C490" s="171"/>
      <c r="D490" s="171"/>
      <c r="E490" s="171"/>
      <c r="I490" s="172"/>
    </row>
    <row r="491">
      <c r="C491" s="171"/>
      <c r="D491" s="171"/>
      <c r="E491" s="171"/>
      <c r="I491" s="172"/>
    </row>
    <row r="492">
      <c r="C492" s="171"/>
      <c r="D492" s="171"/>
      <c r="E492" s="171"/>
      <c r="I492" s="172"/>
    </row>
    <row r="493">
      <c r="C493" s="171"/>
      <c r="D493" s="171"/>
      <c r="E493" s="171"/>
      <c r="I493" s="172"/>
    </row>
    <row r="494">
      <c r="C494" s="171"/>
      <c r="D494" s="171"/>
      <c r="E494" s="171"/>
      <c r="I494" s="172"/>
    </row>
    <row r="495">
      <c r="C495" s="171"/>
      <c r="D495" s="171"/>
      <c r="E495" s="171"/>
      <c r="I495" s="172"/>
    </row>
    <row r="496">
      <c r="C496" s="171"/>
      <c r="D496" s="171"/>
      <c r="E496" s="171"/>
      <c r="I496" s="172"/>
    </row>
    <row r="497">
      <c r="C497" s="171"/>
      <c r="D497" s="171"/>
      <c r="E497" s="171"/>
      <c r="I497" s="172"/>
    </row>
    <row r="498">
      <c r="C498" s="171"/>
      <c r="D498" s="171"/>
      <c r="E498" s="171"/>
      <c r="I498" s="172"/>
    </row>
    <row r="499">
      <c r="C499" s="171"/>
      <c r="D499" s="171"/>
      <c r="E499" s="171"/>
      <c r="I499" s="172"/>
    </row>
    <row r="500">
      <c r="C500" s="171"/>
      <c r="D500" s="171"/>
      <c r="E500" s="171"/>
      <c r="I500" s="172"/>
    </row>
    <row r="501">
      <c r="C501" s="171"/>
      <c r="D501" s="171"/>
      <c r="E501" s="171"/>
      <c r="I501" s="172"/>
    </row>
    <row r="502">
      <c r="C502" s="171"/>
      <c r="D502" s="171"/>
      <c r="E502" s="171"/>
      <c r="I502" s="172"/>
    </row>
    <row r="503">
      <c r="C503" s="171"/>
      <c r="D503" s="171"/>
      <c r="E503" s="171"/>
      <c r="I503" s="172"/>
    </row>
    <row r="504">
      <c r="C504" s="171"/>
      <c r="D504" s="171"/>
      <c r="E504" s="171"/>
      <c r="I504" s="172"/>
    </row>
    <row r="505">
      <c r="C505" s="171"/>
      <c r="D505" s="171"/>
      <c r="E505" s="171"/>
      <c r="I505" s="172"/>
    </row>
    <row r="506">
      <c r="C506" s="171"/>
      <c r="D506" s="171"/>
      <c r="E506" s="171"/>
      <c r="I506" s="172"/>
    </row>
    <row r="507">
      <c r="C507" s="171"/>
      <c r="D507" s="171"/>
      <c r="E507" s="171"/>
      <c r="I507" s="172"/>
    </row>
    <row r="508">
      <c r="C508" s="171"/>
      <c r="D508" s="171"/>
      <c r="E508" s="171"/>
      <c r="I508" s="172"/>
    </row>
    <row r="509">
      <c r="C509" s="171"/>
      <c r="D509" s="171"/>
      <c r="E509" s="171"/>
      <c r="I509" s="172"/>
    </row>
    <row r="510">
      <c r="C510" s="171"/>
      <c r="D510" s="171"/>
      <c r="E510" s="171"/>
      <c r="I510" s="172"/>
    </row>
    <row r="511">
      <c r="C511" s="171"/>
      <c r="D511" s="171"/>
      <c r="E511" s="171"/>
      <c r="I511" s="172"/>
    </row>
    <row r="512">
      <c r="C512" s="171"/>
      <c r="D512" s="171"/>
      <c r="E512" s="171"/>
      <c r="I512" s="172"/>
    </row>
    <row r="513">
      <c r="C513" s="171"/>
      <c r="D513" s="171"/>
      <c r="E513" s="171"/>
      <c r="I513" s="172"/>
    </row>
    <row r="514">
      <c r="C514" s="171"/>
      <c r="D514" s="171"/>
      <c r="E514" s="171"/>
      <c r="I514" s="172"/>
    </row>
    <row r="515">
      <c r="C515" s="171"/>
      <c r="D515" s="171"/>
      <c r="E515" s="171"/>
      <c r="I515" s="172"/>
    </row>
    <row r="516">
      <c r="C516" s="171"/>
      <c r="D516" s="171"/>
      <c r="E516" s="171"/>
      <c r="I516" s="172"/>
    </row>
    <row r="517">
      <c r="C517" s="171"/>
      <c r="D517" s="171"/>
      <c r="E517" s="171"/>
      <c r="I517" s="172"/>
    </row>
    <row r="518">
      <c r="C518" s="171"/>
      <c r="D518" s="171"/>
      <c r="E518" s="171"/>
      <c r="I518" s="172"/>
    </row>
    <row r="519">
      <c r="C519" s="171"/>
      <c r="D519" s="171"/>
      <c r="E519" s="171"/>
      <c r="I519" s="172"/>
    </row>
    <row r="520">
      <c r="C520" s="171"/>
      <c r="D520" s="171"/>
      <c r="E520" s="171"/>
      <c r="I520" s="172"/>
    </row>
    <row r="521">
      <c r="C521" s="171"/>
      <c r="D521" s="171"/>
      <c r="E521" s="171"/>
      <c r="I521" s="172"/>
    </row>
    <row r="522">
      <c r="C522" s="171"/>
      <c r="D522" s="171"/>
      <c r="E522" s="171"/>
      <c r="I522" s="172"/>
    </row>
    <row r="523">
      <c r="C523" s="171"/>
      <c r="D523" s="171"/>
      <c r="E523" s="171"/>
      <c r="I523" s="172"/>
    </row>
    <row r="524">
      <c r="C524" s="171"/>
      <c r="D524" s="171"/>
      <c r="E524" s="171"/>
      <c r="I524" s="172"/>
    </row>
    <row r="525">
      <c r="C525" s="171"/>
      <c r="D525" s="171"/>
      <c r="E525" s="171"/>
      <c r="I525" s="172"/>
    </row>
    <row r="526">
      <c r="C526" s="171"/>
      <c r="D526" s="171"/>
      <c r="E526" s="171"/>
      <c r="I526" s="172"/>
    </row>
    <row r="527">
      <c r="C527" s="171"/>
      <c r="D527" s="171"/>
      <c r="E527" s="171"/>
      <c r="I527" s="172"/>
    </row>
    <row r="528">
      <c r="C528" s="171"/>
      <c r="D528" s="171"/>
      <c r="E528" s="171"/>
      <c r="I528" s="172"/>
    </row>
    <row r="529">
      <c r="C529" s="171"/>
      <c r="D529" s="171"/>
      <c r="E529" s="171"/>
      <c r="I529" s="172"/>
    </row>
    <row r="530">
      <c r="C530" s="171"/>
      <c r="D530" s="171"/>
      <c r="E530" s="171"/>
      <c r="I530" s="172"/>
    </row>
    <row r="531">
      <c r="C531" s="171"/>
      <c r="D531" s="171"/>
      <c r="E531" s="171"/>
      <c r="I531" s="172"/>
    </row>
    <row r="532">
      <c r="C532" s="171"/>
      <c r="D532" s="171"/>
      <c r="E532" s="171"/>
      <c r="I532" s="172"/>
    </row>
    <row r="533">
      <c r="C533" s="171"/>
      <c r="D533" s="171"/>
      <c r="E533" s="171"/>
      <c r="I533" s="172"/>
    </row>
    <row r="534">
      <c r="C534" s="171"/>
      <c r="D534" s="171"/>
      <c r="E534" s="171"/>
      <c r="I534" s="172"/>
    </row>
    <row r="535">
      <c r="C535" s="171"/>
      <c r="D535" s="171"/>
      <c r="E535" s="171"/>
      <c r="I535" s="172"/>
    </row>
    <row r="536">
      <c r="C536" s="171"/>
      <c r="D536" s="171"/>
      <c r="E536" s="171"/>
      <c r="I536" s="172"/>
    </row>
    <row r="537">
      <c r="C537" s="171"/>
      <c r="D537" s="171"/>
      <c r="E537" s="171"/>
      <c r="I537" s="172"/>
    </row>
    <row r="538">
      <c r="C538" s="171"/>
      <c r="D538" s="171"/>
      <c r="E538" s="171"/>
      <c r="I538" s="172"/>
    </row>
    <row r="539">
      <c r="C539" s="171"/>
      <c r="D539" s="171"/>
      <c r="E539" s="171"/>
      <c r="I539" s="172"/>
    </row>
    <row r="540">
      <c r="C540" s="171"/>
      <c r="D540" s="171"/>
      <c r="E540" s="171"/>
      <c r="I540" s="172"/>
    </row>
    <row r="541">
      <c r="C541" s="171"/>
      <c r="D541" s="171"/>
      <c r="E541" s="171"/>
      <c r="I541" s="172"/>
    </row>
    <row r="542">
      <c r="C542" s="171"/>
      <c r="D542" s="171"/>
      <c r="E542" s="171"/>
      <c r="I542" s="172"/>
    </row>
    <row r="543">
      <c r="C543" s="171"/>
      <c r="D543" s="171"/>
      <c r="E543" s="171"/>
      <c r="I543" s="172"/>
    </row>
    <row r="544">
      <c r="C544" s="171"/>
      <c r="D544" s="171"/>
      <c r="E544" s="171"/>
      <c r="I544" s="172"/>
    </row>
    <row r="545">
      <c r="C545" s="171"/>
      <c r="D545" s="171"/>
      <c r="E545" s="171"/>
      <c r="I545" s="172"/>
    </row>
    <row r="546">
      <c r="C546" s="171"/>
      <c r="D546" s="171"/>
      <c r="E546" s="171"/>
      <c r="I546" s="172"/>
    </row>
    <row r="547">
      <c r="C547" s="171"/>
      <c r="D547" s="171"/>
      <c r="E547" s="171"/>
      <c r="I547" s="172"/>
    </row>
    <row r="548">
      <c r="C548" s="171"/>
      <c r="D548" s="171"/>
      <c r="E548" s="171"/>
      <c r="I548" s="172"/>
    </row>
    <row r="549">
      <c r="C549" s="171"/>
      <c r="D549" s="171"/>
      <c r="E549" s="171"/>
      <c r="I549" s="172"/>
    </row>
    <row r="550">
      <c r="C550" s="171"/>
      <c r="D550" s="171"/>
      <c r="E550" s="171"/>
      <c r="I550" s="172"/>
    </row>
    <row r="551">
      <c r="C551" s="171"/>
      <c r="D551" s="171"/>
      <c r="E551" s="171"/>
      <c r="I551" s="172"/>
    </row>
    <row r="552">
      <c r="C552" s="171"/>
      <c r="D552" s="171"/>
      <c r="E552" s="171"/>
      <c r="I552" s="172"/>
    </row>
    <row r="553">
      <c r="C553" s="171"/>
      <c r="D553" s="171"/>
      <c r="E553" s="171"/>
      <c r="I553" s="172"/>
    </row>
    <row r="554">
      <c r="C554" s="171"/>
      <c r="D554" s="171"/>
      <c r="E554" s="171"/>
      <c r="I554" s="172"/>
    </row>
    <row r="555">
      <c r="C555" s="171"/>
      <c r="D555" s="171"/>
      <c r="E555" s="171"/>
      <c r="I555" s="172"/>
    </row>
    <row r="556">
      <c r="C556" s="171"/>
      <c r="D556" s="171"/>
      <c r="E556" s="171"/>
      <c r="I556" s="172"/>
    </row>
    <row r="557">
      <c r="C557" s="171"/>
      <c r="D557" s="171"/>
      <c r="E557" s="171"/>
      <c r="I557" s="172"/>
    </row>
    <row r="558">
      <c r="C558" s="171"/>
      <c r="D558" s="171"/>
      <c r="E558" s="171"/>
      <c r="I558" s="172"/>
    </row>
    <row r="559">
      <c r="C559" s="171"/>
      <c r="D559" s="171"/>
      <c r="E559" s="171"/>
      <c r="I559" s="172"/>
    </row>
    <row r="560">
      <c r="C560" s="171"/>
      <c r="D560" s="171"/>
      <c r="E560" s="171"/>
      <c r="I560" s="172"/>
    </row>
    <row r="561">
      <c r="C561" s="171"/>
      <c r="D561" s="171"/>
      <c r="E561" s="171"/>
      <c r="I561" s="172"/>
    </row>
    <row r="562">
      <c r="C562" s="171"/>
      <c r="D562" s="171"/>
      <c r="E562" s="171"/>
      <c r="I562" s="172"/>
    </row>
    <row r="563">
      <c r="C563" s="171"/>
      <c r="D563" s="171"/>
      <c r="E563" s="171"/>
      <c r="I563" s="172"/>
    </row>
    <row r="564">
      <c r="C564" s="171"/>
      <c r="D564" s="171"/>
      <c r="E564" s="171"/>
      <c r="I564" s="172"/>
    </row>
    <row r="565">
      <c r="C565" s="171"/>
      <c r="D565" s="171"/>
      <c r="E565" s="171"/>
      <c r="I565" s="172"/>
    </row>
    <row r="566">
      <c r="C566" s="171"/>
      <c r="D566" s="171"/>
      <c r="E566" s="171"/>
      <c r="I566" s="172"/>
    </row>
    <row r="567">
      <c r="C567" s="171"/>
      <c r="D567" s="171"/>
      <c r="E567" s="171"/>
      <c r="I567" s="172"/>
    </row>
    <row r="568">
      <c r="C568" s="171"/>
      <c r="D568" s="171"/>
      <c r="E568" s="171"/>
      <c r="I568" s="172"/>
    </row>
    <row r="569">
      <c r="C569" s="171"/>
      <c r="D569" s="171"/>
      <c r="E569" s="171"/>
      <c r="I569" s="172"/>
    </row>
    <row r="570">
      <c r="C570" s="171"/>
      <c r="D570" s="171"/>
      <c r="E570" s="171"/>
      <c r="I570" s="172"/>
    </row>
    <row r="571">
      <c r="C571" s="171"/>
      <c r="D571" s="171"/>
      <c r="E571" s="171"/>
      <c r="I571" s="172"/>
    </row>
    <row r="572">
      <c r="C572" s="171"/>
      <c r="D572" s="171"/>
      <c r="E572" s="171"/>
      <c r="I572" s="172"/>
    </row>
    <row r="573">
      <c r="C573" s="171"/>
      <c r="D573" s="171"/>
      <c r="E573" s="171"/>
      <c r="I573" s="172"/>
    </row>
    <row r="574">
      <c r="C574" s="171"/>
      <c r="D574" s="171"/>
      <c r="E574" s="171"/>
      <c r="I574" s="172"/>
    </row>
    <row r="575">
      <c r="C575" s="171"/>
      <c r="D575" s="171"/>
      <c r="E575" s="171"/>
      <c r="I575" s="172"/>
    </row>
    <row r="576">
      <c r="C576" s="171"/>
      <c r="D576" s="171"/>
      <c r="E576" s="171"/>
      <c r="I576" s="172"/>
    </row>
    <row r="577">
      <c r="C577" s="171"/>
      <c r="D577" s="171"/>
      <c r="E577" s="171"/>
      <c r="I577" s="172"/>
    </row>
    <row r="578">
      <c r="C578" s="171"/>
      <c r="D578" s="171"/>
      <c r="E578" s="171"/>
      <c r="I578" s="172"/>
    </row>
    <row r="579">
      <c r="C579" s="171"/>
      <c r="D579" s="171"/>
      <c r="E579" s="171"/>
      <c r="I579" s="172"/>
    </row>
    <row r="580">
      <c r="C580" s="171"/>
      <c r="D580" s="171"/>
      <c r="E580" s="171"/>
      <c r="I580" s="172"/>
    </row>
    <row r="581">
      <c r="C581" s="171"/>
      <c r="D581" s="171"/>
      <c r="E581" s="171"/>
      <c r="I581" s="172"/>
    </row>
    <row r="582">
      <c r="C582" s="171"/>
      <c r="D582" s="171"/>
      <c r="E582" s="171"/>
      <c r="I582" s="172"/>
    </row>
    <row r="583">
      <c r="C583" s="171"/>
      <c r="D583" s="171"/>
      <c r="E583" s="171"/>
      <c r="I583" s="172"/>
    </row>
    <row r="584">
      <c r="C584" s="171"/>
      <c r="D584" s="171"/>
      <c r="E584" s="171"/>
      <c r="I584" s="172"/>
    </row>
    <row r="585">
      <c r="C585" s="171"/>
      <c r="D585" s="171"/>
      <c r="E585" s="171"/>
      <c r="I585" s="172"/>
    </row>
    <row r="586">
      <c r="C586" s="171"/>
      <c r="D586" s="171"/>
      <c r="E586" s="171"/>
      <c r="I586" s="172"/>
    </row>
    <row r="587">
      <c r="C587" s="171"/>
      <c r="D587" s="171"/>
      <c r="E587" s="171"/>
      <c r="I587" s="172"/>
    </row>
    <row r="588">
      <c r="C588" s="171"/>
      <c r="D588" s="171"/>
      <c r="E588" s="171"/>
      <c r="I588" s="172"/>
    </row>
    <row r="589">
      <c r="C589" s="171"/>
      <c r="D589" s="171"/>
      <c r="E589" s="171"/>
      <c r="I589" s="172"/>
    </row>
    <row r="590">
      <c r="C590" s="171"/>
      <c r="D590" s="171"/>
      <c r="E590" s="171"/>
      <c r="I590" s="172"/>
    </row>
    <row r="591">
      <c r="C591" s="171"/>
      <c r="D591" s="171"/>
      <c r="E591" s="171"/>
      <c r="I591" s="172"/>
    </row>
    <row r="592">
      <c r="C592" s="171"/>
      <c r="D592" s="171"/>
      <c r="E592" s="171"/>
      <c r="I592" s="172"/>
    </row>
    <row r="593">
      <c r="C593" s="171"/>
      <c r="D593" s="171"/>
      <c r="E593" s="171"/>
      <c r="I593" s="172"/>
    </row>
    <row r="594">
      <c r="C594" s="171"/>
      <c r="D594" s="171"/>
      <c r="E594" s="171"/>
      <c r="I594" s="172"/>
    </row>
    <row r="595">
      <c r="C595" s="171"/>
      <c r="D595" s="171"/>
      <c r="E595" s="171"/>
      <c r="I595" s="172"/>
    </row>
    <row r="596">
      <c r="C596" s="171"/>
      <c r="D596" s="171"/>
      <c r="E596" s="171"/>
      <c r="I596" s="172"/>
    </row>
    <row r="597">
      <c r="C597" s="171"/>
      <c r="D597" s="171"/>
      <c r="E597" s="171"/>
      <c r="I597" s="172"/>
    </row>
    <row r="598">
      <c r="C598" s="171"/>
      <c r="D598" s="171"/>
      <c r="E598" s="171"/>
      <c r="I598" s="172"/>
    </row>
    <row r="599">
      <c r="C599" s="171"/>
      <c r="D599" s="171"/>
      <c r="E599" s="171"/>
      <c r="I599" s="172"/>
    </row>
    <row r="600">
      <c r="C600" s="171"/>
      <c r="D600" s="171"/>
      <c r="E600" s="171"/>
      <c r="I600" s="172"/>
    </row>
    <row r="601">
      <c r="C601" s="171"/>
      <c r="D601" s="171"/>
      <c r="E601" s="171"/>
      <c r="I601" s="172"/>
    </row>
    <row r="602">
      <c r="C602" s="171"/>
      <c r="D602" s="171"/>
      <c r="E602" s="171"/>
      <c r="I602" s="172"/>
    </row>
    <row r="603">
      <c r="C603" s="171"/>
      <c r="D603" s="171"/>
      <c r="E603" s="171"/>
      <c r="I603" s="172"/>
    </row>
    <row r="604">
      <c r="C604" s="171"/>
      <c r="D604" s="171"/>
      <c r="E604" s="171"/>
      <c r="I604" s="172"/>
    </row>
    <row r="605">
      <c r="C605" s="171"/>
      <c r="D605" s="171"/>
      <c r="E605" s="171"/>
      <c r="I605" s="172"/>
    </row>
    <row r="606">
      <c r="C606" s="171"/>
      <c r="D606" s="171"/>
      <c r="E606" s="171"/>
      <c r="I606" s="172"/>
    </row>
    <row r="607">
      <c r="C607" s="171"/>
      <c r="D607" s="171"/>
      <c r="E607" s="171"/>
      <c r="I607" s="172"/>
    </row>
    <row r="608">
      <c r="C608" s="171"/>
      <c r="D608" s="171"/>
      <c r="E608" s="171"/>
      <c r="I608" s="172"/>
    </row>
    <row r="609">
      <c r="C609" s="171"/>
      <c r="D609" s="171"/>
      <c r="E609" s="171"/>
      <c r="I609" s="172"/>
    </row>
    <row r="610">
      <c r="C610" s="171"/>
      <c r="D610" s="171"/>
      <c r="E610" s="171"/>
      <c r="I610" s="172"/>
    </row>
    <row r="611">
      <c r="C611" s="171"/>
      <c r="D611" s="171"/>
      <c r="E611" s="171"/>
      <c r="I611" s="172"/>
    </row>
    <row r="612">
      <c r="C612" s="171"/>
      <c r="D612" s="171"/>
      <c r="E612" s="171"/>
      <c r="I612" s="172"/>
    </row>
    <row r="613">
      <c r="C613" s="171"/>
      <c r="D613" s="171"/>
      <c r="E613" s="171"/>
      <c r="I613" s="172"/>
    </row>
    <row r="614">
      <c r="C614" s="171"/>
      <c r="D614" s="171"/>
      <c r="E614" s="171"/>
      <c r="I614" s="172"/>
    </row>
    <row r="615">
      <c r="C615" s="171"/>
      <c r="D615" s="171"/>
      <c r="E615" s="171"/>
      <c r="I615" s="172"/>
    </row>
    <row r="616">
      <c r="C616" s="171"/>
      <c r="D616" s="171"/>
      <c r="E616" s="171"/>
      <c r="I616" s="172"/>
    </row>
    <row r="617">
      <c r="C617" s="171"/>
      <c r="D617" s="171"/>
      <c r="E617" s="171"/>
      <c r="I617" s="172"/>
    </row>
    <row r="618">
      <c r="C618" s="171"/>
      <c r="D618" s="171"/>
      <c r="E618" s="171"/>
      <c r="I618" s="172"/>
    </row>
    <row r="619">
      <c r="C619" s="171"/>
      <c r="D619" s="171"/>
      <c r="E619" s="171"/>
      <c r="I619" s="172"/>
    </row>
    <row r="620">
      <c r="C620" s="171"/>
      <c r="D620" s="171"/>
      <c r="E620" s="171"/>
      <c r="I620" s="172"/>
    </row>
    <row r="621">
      <c r="C621" s="171"/>
      <c r="D621" s="171"/>
      <c r="E621" s="171"/>
      <c r="I621" s="172"/>
    </row>
    <row r="622">
      <c r="C622" s="171"/>
      <c r="D622" s="171"/>
      <c r="E622" s="171"/>
      <c r="I622" s="172"/>
    </row>
    <row r="623">
      <c r="C623" s="171"/>
      <c r="D623" s="171"/>
      <c r="E623" s="171"/>
      <c r="I623" s="172"/>
    </row>
    <row r="624">
      <c r="C624" s="171"/>
      <c r="D624" s="171"/>
      <c r="E624" s="171"/>
      <c r="I624" s="172"/>
    </row>
    <row r="625">
      <c r="C625" s="171"/>
      <c r="D625" s="171"/>
      <c r="E625" s="171"/>
      <c r="I625" s="172"/>
    </row>
    <row r="626">
      <c r="C626" s="171"/>
      <c r="D626" s="171"/>
      <c r="E626" s="171"/>
      <c r="I626" s="172"/>
    </row>
    <row r="627">
      <c r="C627" s="171"/>
      <c r="D627" s="171"/>
      <c r="E627" s="171"/>
      <c r="I627" s="172"/>
    </row>
    <row r="628">
      <c r="C628" s="171"/>
      <c r="D628" s="171"/>
      <c r="E628" s="171"/>
      <c r="I628" s="172"/>
    </row>
    <row r="629">
      <c r="C629" s="171"/>
      <c r="D629" s="171"/>
      <c r="E629" s="171"/>
      <c r="I629" s="172"/>
    </row>
    <row r="630">
      <c r="C630" s="171"/>
      <c r="D630" s="171"/>
      <c r="E630" s="171"/>
      <c r="I630" s="172"/>
    </row>
    <row r="631">
      <c r="C631" s="171"/>
      <c r="D631" s="171"/>
      <c r="E631" s="171"/>
      <c r="I631" s="172"/>
    </row>
    <row r="632">
      <c r="C632" s="171"/>
      <c r="D632" s="171"/>
      <c r="E632" s="171"/>
      <c r="I632" s="172"/>
    </row>
    <row r="633">
      <c r="C633" s="171"/>
      <c r="D633" s="171"/>
      <c r="E633" s="171"/>
      <c r="I633" s="172"/>
    </row>
    <row r="634">
      <c r="C634" s="171"/>
      <c r="D634" s="171"/>
      <c r="E634" s="171"/>
      <c r="I634" s="172"/>
    </row>
    <row r="635">
      <c r="C635" s="171"/>
      <c r="D635" s="171"/>
      <c r="E635" s="171"/>
      <c r="I635" s="172"/>
    </row>
    <row r="636">
      <c r="C636" s="171"/>
      <c r="D636" s="171"/>
      <c r="E636" s="171"/>
      <c r="I636" s="172"/>
    </row>
    <row r="637">
      <c r="C637" s="171"/>
      <c r="D637" s="171"/>
      <c r="E637" s="171"/>
      <c r="I637" s="172"/>
    </row>
    <row r="638">
      <c r="C638" s="171"/>
      <c r="D638" s="171"/>
      <c r="E638" s="171"/>
      <c r="I638" s="172"/>
    </row>
    <row r="639">
      <c r="C639" s="171"/>
      <c r="D639" s="171"/>
      <c r="E639" s="171"/>
      <c r="I639" s="172"/>
    </row>
    <row r="640">
      <c r="C640" s="171"/>
      <c r="D640" s="171"/>
      <c r="E640" s="171"/>
      <c r="I640" s="172"/>
    </row>
    <row r="641">
      <c r="C641" s="171"/>
      <c r="D641" s="171"/>
      <c r="E641" s="171"/>
      <c r="I641" s="172"/>
    </row>
    <row r="642">
      <c r="C642" s="171"/>
      <c r="D642" s="171"/>
      <c r="E642" s="171"/>
      <c r="I642" s="172"/>
    </row>
    <row r="643">
      <c r="C643" s="171"/>
      <c r="D643" s="171"/>
      <c r="E643" s="171"/>
      <c r="I643" s="172"/>
    </row>
    <row r="644">
      <c r="C644" s="171"/>
      <c r="D644" s="171"/>
      <c r="E644" s="171"/>
      <c r="I644" s="172"/>
    </row>
    <row r="645">
      <c r="C645" s="171"/>
      <c r="D645" s="171"/>
      <c r="E645" s="171"/>
      <c r="I645" s="172"/>
    </row>
    <row r="646">
      <c r="C646" s="171"/>
      <c r="D646" s="171"/>
      <c r="E646" s="171"/>
      <c r="I646" s="172"/>
    </row>
    <row r="647">
      <c r="C647" s="171"/>
      <c r="D647" s="171"/>
      <c r="E647" s="171"/>
      <c r="I647" s="172"/>
    </row>
    <row r="648">
      <c r="C648" s="171"/>
      <c r="D648" s="171"/>
      <c r="E648" s="171"/>
      <c r="I648" s="172"/>
    </row>
    <row r="649">
      <c r="C649" s="171"/>
      <c r="D649" s="171"/>
      <c r="E649" s="171"/>
      <c r="I649" s="172"/>
    </row>
    <row r="650">
      <c r="C650" s="171"/>
      <c r="D650" s="171"/>
      <c r="E650" s="171"/>
      <c r="I650" s="172"/>
    </row>
    <row r="651">
      <c r="C651" s="171"/>
      <c r="D651" s="171"/>
      <c r="E651" s="171"/>
      <c r="I651" s="172"/>
    </row>
    <row r="652">
      <c r="C652" s="171"/>
      <c r="D652" s="171"/>
      <c r="E652" s="171"/>
      <c r="I652" s="172"/>
    </row>
    <row r="653">
      <c r="C653" s="171"/>
      <c r="D653" s="171"/>
      <c r="E653" s="171"/>
      <c r="I653" s="172"/>
    </row>
    <row r="654">
      <c r="C654" s="171"/>
      <c r="D654" s="171"/>
      <c r="E654" s="171"/>
      <c r="I654" s="172"/>
    </row>
    <row r="655">
      <c r="C655" s="171"/>
      <c r="D655" s="171"/>
      <c r="E655" s="171"/>
      <c r="I655" s="172"/>
    </row>
    <row r="656">
      <c r="C656" s="171"/>
      <c r="D656" s="171"/>
      <c r="E656" s="171"/>
      <c r="I656" s="172"/>
    </row>
    <row r="657">
      <c r="C657" s="171"/>
      <c r="D657" s="171"/>
      <c r="E657" s="171"/>
      <c r="I657" s="172"/>
    </row>
    <row r="658">
      <c r="C658" s="171"/>
      <c r="D658" s="171"/>
      <c r="E658" s="171"/>
      <c r="I658" s="172"/>
    </row>
    <row r="659">
      <c r="C659" s="171"/>
      <c r="D659" s="171"/>
      <c r="E659" s="171"/>
      <c r="I659" s="172"/>
    </row>
    <row r="660">
      <c r="C660" s="171"/>
      <c r="D660" s="171"/>
      <c r="E660" s="171"/>
      <c r="I660" s="172"/>
    </row>
    <row r="661">
      <c r="C661" s="171"/>
      <c r="D661" s="171"/>
      <c r="E661" s="171"/>
      <c r="I661" s="172"/>
    </row>
    <row r="662">
      <c r="C662" s="171"/>
      <c r="D662" s="171"/>
      <c r="E662" s="171"/>
      <c r="I662" s="172"/>
    </row>
    <row r="663">
      <c r="C663" s="171"/>
      <c r="D663" s="171"/>
      <c r="E663" s="171"/>
      <c r="I663" s="172"/>
    </row>
    <row r="664">
      <c r="C664" s="171"/>
      <c r="D664" s="171"/>
      <c r="E664" s="171"/>
      <c r="I664" s="172"/>
    </row>
    <row r="665">
      <c r="C665" s="171"/>
      <c r="D665" s="171"/>
      <c r="E665" s="171"/>
      <c r="I665" s="172"/>
    </row>
    <row r="666">
      <c r="C666" s="171"/>
      <c r="D666" s="171"/>
      <c r="E666" s="171"/>
      <c r="I666" s="172"/>
    </row>
    <row r="667">
      <c r="C667" s="171"/>
      <c r="D667" s="171"/>
      <c r="E667" s="171"/>
      <c r="I667" s="172"/>
    </row>
    <row r="668">
      <c r="C668" s="171"/>
      <c r="D668" s="171"/>
      <c r="E668" s="171"/>
      <c r="I668" s="172"/>
    </row>
    <row r="669">
      <c r="C669" s="171"/>
      <c r="D669" s="171"/>
      <c r="E669" s="171"/>
      <c r="I669" s="172"/>
    </row>
    <row r="670">
      <c r="C670" s="171"/>
      <c r="D670" s="171"/>
      <c r="E670" s="171"/>
      <c r="I670" s="172"/>
    </row>
    <row r="671">
      <c r="C671" s="171"/>
      <c r="D671" s="171"/>
      <c r="E671" s="171"/>
      <c r="I671" s="172"/>
    </row>
    <row r="672">
      <c r="C672" s="171"/>
      <c r="D672" s="171"/>
      <c r="E672" s="171"/>
      <c r="I672" s="172"/>
    </row>
    <row r="673">
      <c r="C673" s="171"/>
      <c r="D673" s="171"/>
      <c r="E673" s="171"/>
      <c r="I673" s="172"/>
    </row>
    <row r="674">
      <c r="C674" s="171"/>
      <c r="D674" s="171"/>
      <c r="E674" s="171"/>
      <c r="I674" s="172"/>
    </row>
    <row r="675">
      <c r="C675" s="171"/>
      <c r="D675" s="171"/>
      <c r="E675" s="171"/>
      <c r="I675" s="172"/>
    </row>
    <row r="676">
      <c r="C676" s="171"/>
      <c r="D676" s="171"/>
      <c r="E676" s="171"/>
      <c r="I676" s="172"/>
    </row>
    <row r="677">
      <c r="C677" s="171"/>
      <c r="D677" s="171"/>
      <c r="E677" s="171"/>
      <c r="I677" s="172"/>
    </row>
    <row r="678">
      <c r="C678" s="171"/>
      <c r="D678" s="171"/>
      <c r="E678" s="171"/>
      <c r="I678" s="172"/>
    </row>
    <row r="679">
      <c r="C679" s="171"/>
      <c r="D679" s="171"/>
      <c r="E679" s="171"/>
      <c r="I679" s="172"/>
    </row>
    <row r="680">
      <c r="C680" s="171"/>
      <c r="D680" s="171"/>
      <c r="E680" s="171"/>
      <c r="I680" s="172"/>
    </row>
    <row r="681">
      <c r="C681" s="171"/>
      <c r="D681" s="171"/>
      <c r="E681" s="171"/>
      <c r="I681" s="172"/>
    </row>
    <row r="682">
      <c r="C682" s="171"/>
      <c r="D682" s="171"/>
      <c r="E682" s="171"/>
      <c r="I682" s="172"/>
    </row>
    <row r="683">
      <c r="C683" s="171"/>
      <c r="D683" s="171"/>
      <c r="E683" s="171"/>
      <c r="I683" s="172"/>
    </row>
    <row r="684">
      <c r="C684" s="171"/>
      <c r="D684" s="171"/>
      <c r="E684" s="171"/>
      <c r="I684" s="172"/>
    </row>
    <row r="685">
      <c r="C685" s="171"/>
      <c r="D685" s="171"/>
      <c r="E685" s="171"/>
      <c r="I685" s="172"/>
    </row>
    <row r="686">
      <c r="C686" s="171"/>
      <c r="D686" s="171"/>
      <c r="E686" s="171"/>
      <c r="I686" s="172"/>
    </row>
    <row r="687">
      <c r="C687" s="171"/>
      <c r="D687" s="171"/>
      <c r="E687" s="171"/>
      <c r="I687" s="172"/>
    </row>
    <row r="688">
      <c r="C688" s="171"/>
      <c r="D688" s="171"/>
      <c r="E688" s="171"/>
      <c r="I688" s="172"/>
    </row>
    <row r="689">
      <c r="C689" s="171"/>
      <c r="D689" s="171"/>
      <c r="E689" s="171"/>
      <c r="I689" s="172"/>
    </row>
    <row r="690">
      <c r="C690" s="171"/>
      <c r="D690" s="171"/>
      <c r="E690" s="171"/>
      <c r="I690" s="172"/>
    </row>
    <row r="691">
      <c r="C691" s="171"/>
      <c r="D691" s="171"/>
      <c r="E691" s="171"/>
      <c r="I691" s="172"/>
    </row>
    <row r="692">
      <c r="C692" s="171"/>
      <c r="D692" s="171"/>
      <c r="E692" s="171"/>
      <c r="I692" s="172"/>
    </row>
    <row r="693">
      <c r="C693" s="171"/>
      <c r="D693" s="171"/>
      <c r="E693" s="171"/>
      <c r="I693" s="172"/>
    </row>
    <row r="694">
      <c r="C694" s="171"/>
      <c r="D694" s="171"/>
      <c r="E694" s="171"/>
      <c r="I694" s="172"/>
    </row>
    <row r="695">
      <c r="C695" s="171"/>
      <c r="D695" s="171"/>
      <c r="E695" s="171"/>
      <c r="I695" s="172"/>
    </row>
    <row r="696">
      <c r="C696" s="171"/>
      <c r="D696" s="171"/>
      <c r="E696" s="171"/>
      <c r="I696" s="172"/>
    </row>
    <row r="697">
      <c r="C697" s="171"/>
      <c r="D697" s="171"/>
      <c r="E697" s="171"/>
      <c r="I697" s="172"/>
    </row>
    <row r="698">
      <c r="C698" s="171"/>
      <c r="D698" s="171"/>
      <c r="E698" s="171"/>
      <c r="I698" s="172"/>
    </row>
    <row r="699">
      <c r="C699" s="171"/>
      <c r="D699" s="171"/>
      <c r="E699" s="171"/>
      <c r="I699" s="172"/>
    </row>
    <row r="700">
      <c r="C700" s="171"/>
      <c r="D700" s="171"/>
      <c r="E700" s="171"/>
      <c r="I700" s="172"/>
    </row>
    <row r="701">
      <c r="C701" s="171"/>
      <c r="D701" s="171"/>
      <c r="E701" s="171"/>
      <c r="I701" s="172"/>
    </row>
    <row r="702">
      <c r="C702" s="171"/>
      <c r="D702" s="171"/>
      <c r="E702" s="171"/>
      <c r="I702" s="172"/>
    </row>
    <row r="703">
      <c r="C703" s="171"/>
      <c r="D703" s="171"/>
      <c r="E703" s="171"/>
      <c r="I703" s="172"/>
    </row>
    <row r="704">
      <c r="C704" s="171"/>
      <c r="D704" s="171"/>
      <c r="E704" s="171"/>
      <c r="I704" s="172"/>
    </row>
    <row r="705">
      <c r="C705" s="171"/>
      <c r="D705" s="171"/>
      <c r="E705" s="171"/>
      <c r="I705" s="172"/>
    </row>
    <row r="706">
      <c r="C706" s="171"/>
      <c r="D706" s="171"/>
      <c r="E706" s="171"/>
      <c r="I706" s="172"/>
    </row>
    <row r="707">
      <c r="C707" s="171"/>
      <c r="D707" s="171"/>
      <c r="E707" s="171"/>
      <c r="I707" s="172"/>
    </row>
    <row r="708">
      <c r="C708" s="171"/>
      <c r="D708" s="171"/>
      <c r="E708" s="171"/>
      <c r="I708" s="172"/>
    </row>
    <row r="709">
      <c r="C709" s="171"/>
      <c r="D709" s="171"/>
      <c r="E709" s="171"/>
      <c r="I709" s="172"/>
    </row>
    <row r="710">
      <c r="C710" s="171"/>
      <c r="D710" s="171"/>
      <c r="E710" s="171"/>
      <c r="I710" s="172"/>
    </row>
    <row r="711">
      <c r="C711" s="171"/>
      <c r="D711" s="171"/>
      <c r="E711" s="171"/>
      <c r="I711" s="172"/>
    </row>
    <row r="712">
      <c r="C712" s="171"/>
      <c r="D712" s="171"/>
      <c r="E712" s="171"/>
      <c r="I712" s="172"/>
    </row>
    <row r="713">
      <c r="C713" s="171"/>
      <c r="D713" s="171"/>
      <c r="E713" s="171"/>
      <c r="I713" s="172"/>
    </row>
    <row r="714">
      <c r="C714" s="171"/>
      <c r="D714" s="171"/>
      <c r="E714" s="171"/>
      <c r="I714" s="172"/>
    </row>
    <row r="715">
      <c r="C715" s="171"/>
      <c r="D715" s="171"/>
      <c r="E715" s="171"/>
      <c r="I715" s="172"/>
    </row>
    <row r="716">
      <c r="C716" s="171"/>
      <c r="D716" s="171"/>
      <c r="E716" s="171"/>
      <c r="I716" s="172"/>
    </row>
    <row r="717">
      <c r="C717" s="171"/>
      <c r="D717" s="171"/>
      <c r="E717" s="171"/>
      <c r="I717" s="172"/>
    </row>
    <row r="718">
      <c r="C718" s="171"/>
      <c r="D718" s="171"/>
      <c r="E718" s="171"/>
      <c r="I718" s="172"/>
    </row>
    <row r="719">
      <c r="C719" s="171"/>
      <c r="D719" s="171"/>
      <c r="E719" s="171"/>
      <c r="I719" s="172"/>
    </row>
    <row r="720">
      <c r="C720" s="171"/>
      <c r="D720" s="171"/>
      <c r="E720" s="171"/>
      <c r="I720" s="172"/>
    </row>
    <row r="721">
      <c r="C721" s="171"/>
      <c r="D721" s="171"/>
      <c r="E721" s="171"/>
      <c r="I721" s="172"/>
    </row>
    <row r="722">
      <c r="C722" s="171"/>
      <c r="D722" s="171"/>
      <c r="E722" s="171"/>
      <c r="I722" s="172"/>
    </row>
    <row r="723">
      <c r="C723" s="171"/>
      <c r="D723" s="171"/>
      <c r="E723" s="171"/>
      <c r="I723" s="172"/>
    </row>
    <row r="724">
      <c r="C724" s="171"/>
      <c r="D724" s="171"/>
      <c r="E724" s="171"/>
      <c r="I724" s="172"/>
    </row>
    <row r="725">
      <c r="C725" s="171"/>
      <c r="D725" s="171"/>
      <c r="E725" s="171"/>
      <c r="I725" s="172"/>
    </row>
    <row r="726">
      <c r="C726" s="171"/>
      <c r="D726" s="171"/>
      <c r="E726" s="171"/>
      <c r="I726" s="172"/>
    </row>
    <row r="727">
      <c r="C727" s="171"/>
      <c r="D727" s="171"/>
      <c r="E727" s="171"/>
      <c r="I727" s="172"/>
    </row>
    <row r="728">
      <c r="C728" s="171"/>
      <c r="D728" s="171"/>
      <c r="E728" s="171"/>
      <c r="I728" s="172"/>
    </row>
    <row r="729">
      <c r="C729" s="171"/>
      <c r="D729" s="171"/>
      <c r="E729" s="171"/>
      <c r="I729" s="172"/>
    </row>
    <row r="730">
      <c r="C730" s="171"/>
      <c r="D730" s="171"/>
      <c r="E730" s="171"/>
      <c r="I730" s="172"/>
    </row>
    <row r="731">
      <c r="C731" s="171"/>
      <c r="D731" s="171"/>
      <c r="E731" s="171"/>
      <c r="I731" s="172"/>
    </row>
    <row r="732">
      <c r="C732" s="171"/>
      <c r="D732" s="171"/>
      <c r="E732" s="171"/>
      <c r="I732" s="172"/>
    </row>
    <row r="733">
      <c r="C733" s="171"/>
      <c r="D733" s="171"/>
      <c r="E733" s="171"/>
      <c r="I733" s="172"/>
    </row>
    <row r="734">
      <c r="C734" s="171"/>
      <c r="D734" s="171"/>
      <c r="E734" s="171"/>
      <c r="I734" s="172"/>
    </row>
    <row r="735">
      <c r="C735" s="171"/>
      <c r="D735" s="171"/>
      <c r="E735" s="171"/>
      <c r="I735" s="172"/>
    </row>
    <row r="736">
      <c r="C736" s="171"/>
      <c r="D736" s="171"/>
      <c r="E736" s="171"/>
      <c r="I736" s="172"/>
    </row>
    <row r="737">
      <c r="C737" s="171"/>
      <c r="D737" s="171"/>
      <c r="E737" s="171"/>
      <c r="I737" s="172"/>
    </row>
    <row r="738">
      <c r="C738" s="171"/>
      <c r="D738" s="171"/>
      <c r="E738" s="171"/>
      <c r="I738" s="172"/>
    </row>
    <row r="739">
      <c r="C739" s="171"/>
      <c r="D739" s="171"/>
      <c r="E739" s="171"/>
      <c r="I739" s="172"/>
    </row>
    <row r="740">
      <c r="C740" s="171"/>
      <c r="D740" s="171"/>
      <c r="E740" s="171"/>
      <c r="I740" s="172"/>
    </row>
    <row r="741">
      <c r="C741" s="171"/>
      <c r="D741" s="171"/>
      <c r="E741" s="171"/>
      <c r="I741" s="172"/>
    </row>
    <row r="742">
      <c r="C742" s="171"/>
      <c r="D742" s="171"/>
      <c r="E742" s="171"/>
      <c r="I742" s="172"/>
    </row>
    <row r="743">
      <c r="C743" s="171"/>
      <c r="D743" s="171"/>
      <c r="E743" s="171"/>
      <c r="I743" s="172"/>
    </row>
    <row r="744">
      <c r="C744" s="171"/>
      <c r="D744" s="171"/>
      <c r="E744" s="171"/>
      <c r="I744" s="172"/>
    </row>
    <row r="745">
      <c r="C745" s="171"/>
      <c r="D745" s="171"/>
      <c r="E745" s="171"/>
      <c r="I745" s="172"/>
    </row>
    <row r="746">
      <c r="C746" s="171"/>
      <c r="D746" s="171"/>
      <c r="E746" s="171"/>
      <c r="I746" s="172"/>
    </row>
    <row r="747">
      <c r="C747" s="171"/>
      <c r="D747" s="171"/>
      <c r="E747" s="171"/>
      <c r="I747" s="172"/>
    </row>
    <row r="748">
      <c r="C748" s="171"/>
      <c r="D748" s="171"/>
      <c r="E748" s="171"/>
      <c r="I748" s="172"/>
    </row>
    <row r="749">
      <c r="C749" s="171"/>
      <c r="D749" s="171"/>
      <c r="E749" s="171"/>
      <c r="I749" s="172"/>
    </row>
    <row r="750">
      <c r="C750" s="171"/>
      <c r="D750" s="171"/>
      <c r="E750" s="171"/>
      <c r="I750" s="172"/>
    </row>
    <row r="751">
      <c r="C751" s="171"/>
      <c r="D751" s="171"/>
      <c r="E751" s="171"/>
      <c r="I751" s="172"/>
    </row>
    <row r="752">
      <c r="C752" s="171"/>
      <c r="D752" s="171"/>
      <c r="E752" s="171"/>
      <c r="I752" s="172"/>
    </row>
    <row r="753">
      <c r="C753" s="171"/>
      <c r="D753" s="171"/>
      <c r="E753" s="171"/>
      <c r="I753" s="172"/>
    </row>
    <row r="754">
      <c r="C754" s="171"/>
      <c r="D754" s="171"/>
      <c r="E754" s="171"/>
      <c r="I754" s="172"/>
    </row>
    <row r="755">
      <c r="C755" s="171"/>
      <c r="D755" s="171"/>
      <c r="E755" s="171"/>
      <c r="I755" s="172"/>
    </row>
    <row r="756">
      <c r="C756" s="171"/>
      <c r="D756" s="171"/>
      <c r="E756" s="171"/>
      <c r="I756" s="172"/>
    </row>
    <row r="757">
      <c r="C757" s="171"/>
      <c r="D757" s="171"/>
      <c r="E757" s="171"/>
      <c r="I757" s="172"/>
    </row>
    <row r="758">
      <c r="C758" s="171"/>
      <c r="D758" s="171"/>
      <c r="E758" s="171"/>
      <c r="I758" s="172"/>
    </row>
    <row r="759">
      <c r="C759" s="171"/>
      <c r="D759" s="171"/>
      <c r="E759" s="171"/>
      <c r="I759" s="172"/>
    </row>
    <row r="760">
      <c r="C760" s="171"/>
      <c r="D760" s="171"/>
      <c r="E760" s="171"/>
      <c r="I760" s="172"/>
    </row>
    <row r="761">
      <c r="C761" s="171"/>
      <c r="D761" s="171"/>
      <c r="E761" s="171"/>
      <c r="I761" s="172"/>
    </row>
    <row r="762">
      <c r="C762" s="171"/>
      <c r="D762" s="171"/>
      <c r="E762" s="171"/>
      <c r="I762" s="172"/>
    </row>
    <row r="763">
      <c r="C763" s="171"/>
      <c r="D763" s="171"/>
      <c r="E763" s="171"/>
      <c r="I763" s="172"/>
    </row>
    <row r="764">
      <c r="C764" s="171"/>
      <c r="D764" s="171"/>
      <c r="E764" s="171"/>
      <c r="I764" s="172"/>
    </row>
    <row r="765">
      <c r="C765" s="171"/>
      <c r="D765" s="171"/>
      <c r="E765" s="171"/>
      <c r="I765" s="172"/>
    </row>
    <row r="766">
      <c r="C766" s="171"/>
      <c r="D766" s="171"/>
      <c r="E766" s="171"/>
      <c r="I766" s="172"/>
    </row>
    <row r="767">
      <c r="C767" s="171"/>
      <c r="D767" s="171"/>
      <c r="E767" s="171"/>
      <c r="I767" s="172"/>
    </row>
    <row r="768">
      <c r="C768" s="171"/>
      <c r="D768" s="171"/>
      <c r="E768" s="171"/>
      <c r="I768" s="172"/>
    </row>
    <row r="769">
      <c r="C769" s="171"/>
      <c r="D769" s="171"/>
      <c r="E769" s="171"/>
      <c r="I769" s="172"/>
    </row>
    <row r="770">
      <c r="C770" s="171"/>
      <c r="D770" s="171"/>
      <c r="E770" s="171"/>
      <c r="I770" s="172"/>
    </row>
    <row r="771">
      <c r="C771" s="171"/>
      <c r="D771" s="171"/>
      <c r="E771" s="171"/>
      <c r="I771" s="172"/>
    </row>
    <row r="772">
      <c r="C772" s="171"/>
      <c r="D772" s="171"/>
      <c r="E772" s="171"/>
      <c r="I772" s="172"/>
    </row>
    <row r="773">
      <c r="C773" s="171"/>
      <c r="D773" s="171"/>
      <c r="E773" s="171"/>
      <c r="I773" s="172"/>
    </row>
    <row r="774">
      <c r="C774" s="171"/>
      <c r="D774" s="171"/>
      <c r="E774" s="171"/>
      <c r="I774" s="172"/>
    </row>
    <row r="775">
      <c r="C775" s="171"/>
      <c r="D775" s="171"/>
      <c r="E775" s="171"/>
      <c r="I775" s="172"/>
    </row>
    <row r="776">
      <c r="C776" s="171"/>
      <c r="D776" s="171"/>
      <c r="E776" s="171"/>
      <c r="I776" s="172"/>
    </row>
    <row r="777">
      <c r="C777" s="171"/>
      <c r="D777" s="171"/>
      <c r="E777" s="171"/>
      <c r="I777" s="172"/>
    </row>
    <row r="778">
      <c r="C778" s="171"/>
      <c r="D778" s="171"/>
      <c r="E778" s="171"/>
      <c r="I778" s="172"/>
    </row>
    <row r="779">
      <c r="C779" s="171"/>
      <c r="D779" s="171"/>
      <c r="E779" s="171"/>
      <c r="I779" s="172"/>
    </row>
    <row r="780">
      <c r="C780" s="171"/>
      <c r="D780" s="171"/>
      <c r="E780" s="171"/>
      <c r="I780" s="172"/>
    </row>
    <row r="781">
      <c r="C781" s="171"/>
      <c r="D781" s="171"/>
      <c r="E781" s="171"/>
      <c r="I781" s="172"/>
    </row>
    <row r="782">
      <c r="C782" s="171"/>
      <c r="D782" s="171"/>
      <c r="E782" s="171"/>
      <c r="I782" s="172"/>
    </row>
    <row r="783">
      <c r="C783" s="171"/>
      <c r="D783" s="171"/>
      <c r="E783" s="171"/>
      <c r="I783" s="172"/>
    </row>
    <row r="784">
      <c r="C784" s="171"/>
      <c r="D784" s="171"/>
      <c r="E784" s="171"/>
      <c r="I784" s="172"/>
    </row>
    <row r="785">
      <c r="C785" s="171"/>
      <c r="D785" s="171"/>
      <c r="E785" s="171"/>
      <c r="I785" s="172"/>
    </row>
    <row r="786">
      <c r="C786" s="171"/>
      <c r="D786" s="171"/>
      <c r="E786" s="171"/>
      <c r="I786" s="172"/>
    </row>
    <row r="787">
      <c r="C787" s="171"/>
      <c r="D787" s="171"/>
      <c r="E787" s="171"/>
      <c r="I787" s="172"/>
    </row>
    <row r="788">
      <c r="C788" s="171"/>
      <c r="D788" s="171"/>
      <c r="E788" s="171"/>
      <c r="I788" s="172"/>
    </row>
    <row r="789">
      <c r="C789" s="171"/>
      <c r="D789" s="171"/>
      <c r="E789" s="171"/>
      <c r="I789" s="172"/>
    </row>
    <row r="790">
      <c r="C790" s="171"/>
      <c r="D790" s="171"/>
      <c r="E790" s="171"/>
      <c r="I790" s="172"/>
    </row>
    <row r="791">
      <c r="C791" s="171"/>
      <c r="D791" s="171"/>
      <c r="E791" s="171"/>
      <c r="I791" s="172"/>
    </row>
    <row r="792">
      <c r="C792" s="171"/>
      <c r="D792" s="171"/>
      <c r="E792" s="171"/>
      <c r="I792" s="172"/>
    </row>
    <row r="793">
      <c r="C793" s="171"/>
      <c r="D793" s="171"/>
      <c r="E793" s="171"/>
      <c r="I793" s="172"/>
    </row>
    <row r="794">
      <c r="C794" s="171"/>
      <c r="D794" s="171"/>
      <c r="E794" s="171"/>
      <c r="I794" s="172"/>
    </row>
    <row r="795">
      <c r="C795" s="171"/>
      <c r="D795" s="171"/>
      <c r="E795" s="171"/>
      <c r="I795" s="172"/>
    </row>
    <row r="796">
      <c r="C796" s="171"/>
      <c r="D796" s="171"/>
      <c r="E796" s="171"/>
      <c r="I796" s="172"/>
    </row>
    <row r="797">
      <c r="C797" s="171"/>
      <c r="D797" s="171"/>
      <c r="E797" s="171"/>
      <c r="I797" s="172"/>
    </row>
    <row r="798">
      <c r="C798" s="171"/>
      <c r="D798" s="171"/>
      <c r="E798" s="171"/>
      <c r="I798" s="172"/>
    </row>
    <row r="799">
      <c r="C799" s="171"/>
      <c r="D799" s="171"/>
      <c r="E799" s="171"/>
      <c r="I799" s="172"/>
    </row>
    <row r="800">
      <c r="C800" s="171"/>
      <c r="D800" s="171"/>
      <c r="E800" s="171"/>
      <c r="I800" s="172"/>
    </row>
    <row r="801">
      <c r="C801" s="171"/>
      <c r="D801" s="171"/>
      <c r="E801" s="171"/>
      <c r="I801" s="172"/>
    </row>
    <row r="802">
      <c r="C802" s="171"/>
      <c r="D802" s="171"/>
      <c r="E802" s="171"/>
      <c r="I802" s="172"/>
    </row>
    <row r="803">
      <c r="C803" s="171"/>
      <c r="D803" s="171"/>
      <c r="E803" s="171"/>
      <c r="I803" s="172"/>
    </row>
    <row r="804">
      <c r="C804" s="171"/>
      <c r="D804" s="171"/>
      <c r="E804" s="171"/>
      <c r="I804" s="172"/>
    </row>
    <row r="805">
      <c r="C805" s="171"/>
      <c r="D805" s="171"/>
      <c r="E805" s="171"/>
      <c r="I805" s="172"/>
    </row>
    <row r="806">
      <c r="C806" s="171"/>
      <c r="D806" s="171"/>
      <c r="E806" s="171"/>
      <c r="I806" s="172"/>
    </row>
    <row r="807">
      <c r="C807" s="171"/>
      <c r="D807" s="171"/>
      <c r="E807" s="171"/>
      <c r="I807" s="172"/>
    </row>
    <row r="808">
      <c r="C808" s="171"/>
      <c r="D808" s="171"/>
      <c r="E808" s="171"/>
      <c r="I808" s="172"/>
    </row>
    <row r="809">
      <c r="C809" s="171"/>
      <c r="D809" s="171"/>
      <c r="E809" s="171"/>
      <c r="I809" s="172"/>
    </row>
    <row r="810">
      <c r="C810" s="171"/>
      <c r="D810" s="171"/>
      <c r="E810" s="171"/>
      <c r="I810" s="172"/>
    </row>
    <row r="811">
      <c r="C811" s="171"/>
      <c r="D811" s="171"/>
      <c r="E811" s="171"/>
      <c r="I811" s="172"/>
    </row>
    <row r="812">
      <c r="C812" s="171"/>
      <c r="D812" s="171"/>
      <c r="E812" s="171"/>
      <c r="I812" s="172"/>
    </row>
    <row r="813">
      <c r="C813" s="171"/>
      <c r="D813" s="171"/>
      <c r="E813" s="171"/>
      <c r="I813" s="172"/>
    </row>
    <row r="814">
      <c r="C814" s="171"/>
      <c r="D814" s="171"/>
      <c r="E814" s="171"/>
      <c r="I814" s="172"/>
    </row>
    <row r="815">
      <c r="C815" s="171"/>
      <c r="D815" s="171"/>
      <c r="E815" s="171"/>
      <c r="I815" s="172"/>
    </row>
    <row r="816">
      <c r="C816" s="171"/>
      <c r="D816" s="171"/>
      <c r="E816" s="171"/>
      <c r="I816" s="172"/>
    </row>
    <row r="817">
      <c r="C817" s="171"/>
      <c r="D817" s="171"/>
      <c r="E817" s="171"/>
      <c r="I817" s="172"/>
    </row>
    <row r="818">
      <c r="C818" s="171"/>
      <c r="D818" s="171"/>
      <c r="E818" s="171"/>
      <c r="I818" s="172"/>
    </row>
    <row r="819">
      <c r="C819" s="171"/>
      <c r="D819" s="171"/>
      <c r="E819" s="171"/>
      <c r="I819" s="172"/>
    </row>
    <row r="820">
      <c r="C820" s="171"/>
      <c r="D820" s="171"/>
      <c r="E820" s="171"/>
      <c r="I820" s="172"/>
    </row>
    <row r="821">
      <c r="C821" s="171"/>
      <c r="D821" s="171"/>
      <c r="E821" s="171"/>
      <c r="I821" s="172"/>
    </row>
    <row r="822">
      <c r="C822" s="171"/>
      <c r="D822" s="171"/>
      <c r="E822" s="171"/>
      <c r="I822" s="172"/>
    </row>
    <row r="823">
      <c r="C823" s="171"/>
      <c r="D823" s="171"/>
      <c r="E823" s="171"/>
      <c r="I823" s="172"/>
    </row>
    <row r="824">
      <c r="C824" s="171"/>
      <c r="D824" s="171"/>
      <c r="E824" s="171"/>
      <c r="I824" s="172"/>
    </row>
    <row r="825">
      <c r="C825" s="171"/>
      <c r="D825" s="171"/>
      <c r="E825" s="171"/>
      <c r="I825" s="172"/>
    </row>
    <row r="826">
      <c r="C826" s="171"/>
      <c r="D826" s="171"/>
      <c r="E826" s="171"/>
      <c r="I826" s="172"/>
    </row>
    <row r="827">
      <c r="C827" s="171"/>
      <c r="D827" s="171"/>
      <c r="E827" s="171"/>
      <c r="I827" s="172"/>
    </row>
    <row r="828">
      <c r="C828" s="171"/>
      <c r="D828" s="171"/>
      <c r="E828" s="171"/>
      <c r="I828" s="172"/>
    </row>
    <row r="829">
      <c r="C829" s="171"/>
      <c r="D829" s="171"/>
      <c r="E829" s="171"/>
      <c r="I829" s="172"/>
    </row>
    <row r="830">
      <c r="C830" s="171"/>
      <c r="D830" s="171"/>
      <c r="E830" s="171"/>
      <c r="I830" s="172"/>
    </row>
    <row r="831">
      <c r="C831" s="171"/>
      <c r="D831" s="171"/>
      <c r="E831" s="171"/>
      <c r="I831" s="172"/>
    </row>
    <row r="832">
      <c r="C832" s="171"/>
      <c r="D832" s="171"/>
      <c r="E832" s="171"/>
      <c r="I832" s="172"/>
    </row>
    <row r="833">
      <c r="C833" s="171"/>
      <c r="D833" s="171"/>
      <c r="E833" s="171"/>
      <c r="I833" s="172"/>
    </row>
    <row r="834">
      <c r="C834" s="171"/>
      <c r="D834" s="171"/>
      <c r="E834" s="171"/>
      <c r="I834" s="172"/>
    </row>
    <row r="835">
      <c r="C835" s="171"/>
      <c r="D835" s="171"/>
      <c r="E835" s="171"/>
      <c r="I835" s="172"/>
    </row>
    <row r="836">
      <c r="C836" s="171"/>
      <c r="D836" s="171"/>
      <c r="E836" s="171"/>
      <c r="I836" s="172"/>
    </row>
    <row r="837">
      <c r="C837" s="171"/>
      <c r="D837" s="171"/>
      <c r="E837" s="171"/>
      <c r="I837" s="172"/>
    </row>
    <row r="838">
      <c r="C838" s="171"/>
      <c r="D838" s="171"/>
      <c r="E838" s="171"/>
      <c r="I838" s="172"/>
    </row>
    <row r="839">
      <c r="C839" s="171"/>
      <c r="D839" s="171"/>
      <c r="E839" s="171"/>
      <c r="I839" s="172"/>
    </row>
    <row r="840">
      <c r="C840" s="171"/>
      <c r="D840" s="171"/>
      <c r="E840" s="171"/>
      <c r="I840" s="172"/>
    </row>
    <row r="841">
      <c r="C841" s="171"/>
      <c r="D841" s="171"/>
      <c r="E841" s="171"/>
      <c r="I841" s="172"/>
    </row>
    <row r="842">
      <c r="C842" s="171"/>
      <c r="D842" s="171"/>
      <c r="E842" s="171"/>
      <c r="I842" s="172"/>
    </row>
    <row r="843">
      <c r="C843" s="171"/>
      <c r="D843" s="171"/>
      <c r="E843" s="171"/>
      <c r="I843" s="172"/>
    </row>
    <row r="844">
      <c r="C844" s="171"/>
      <c r="D844" s="171"/>
      <c r="E844" s="171"/>
      <c r="I844" s="172"/>
    </row>
    <row r="845">
      <c r="C845" s="171"/>
      <c r="D845" s="171"/>
      <c r="E845" s="171"/>
      <c r="I845" s="172"/>
    </row>
    <row r="846">
      <c r="C846" s="171"/>
      <c r="D846" s="171"/>
      <c r="E846" s="171"/>
      <c r="I846" s="172"/>
    </row>
    <row r="847">
      <c r="C847" s="171"/>
      <c r="D847" s="171"/>
      <c r="E847" s="171"/>
      <c r="I847" s="172"/>
    </row>
    <row r="848">
      <c r="C848" s="171"/>
      <c r="D848" s="171"/>
      <c r="E848" s="171"/>
      <c r="I848" s="172"/>
    </row>
    <row r="849">
      <c r="C849" s="171"/>
      <c r="D849" s="171"/>
      <c r="E849" s="171"/>
      <c r="I849" s="172"/>
    </row>
    <row r="850">
      <c r="C850" s="171"/>
      <c r="D850" s="171"/>
      <c r="E850" s="171"/>
      <c r="I850" s="172"/>
    </row>
    <row r="851">
      <c r="C851" s="171"/>
      <c r="D851" s="171"/>
      <c r="E851" s="171"/>
      <c r="I851" s="172"/>
    </row>
    <row r="852">
      <c r="C852" s="171"/>
      <c r="D852" s="171"/>
      <c r="E852" s="171"/>
      <c r="I852" s="172"/>
    </row>
    <row r="853">
      <c r="C853" s="171"/>
      <c r="D853" s="171"/>
      <c r="E853" s="171"/>
      <c r="I853" s="172"/>
    </row>
    <row r="854">
      <c r="C854" s="171"/>
      <c r="D854" s="171"/>
      <c r="E854" s="171"/>
      <c r="I854" s="172"/>
    </row>
    <row r="855">
      <c r="C855" s="171"/>
      <c r="D855" s="171"/>
      <c r="E855" s="171"/>
      <c r="I855" s="172"/>
    </row>
    <row r="856">
      <c r="C856" s="171"/>
      <c r="D856" s="171"/>
      <c r="E856" s="171"/>
      <c r="I856" s="172"/>
    </row>
    <row r="857">
      <c r="C857" s="171"/>
      <c r="D857" s="171"/>
      <c r="E857" s="171"/>
      <c r="I857" s="172"/>
    </row>
    <row r="858">
      <c r="C858" s="171"/>
      <c r="D858" s="171"/>
      <c r="E858" s="171"/>
      <c r="I858" s="172"/>
    </row>
    <row r="859">
      <c r="C859" s="171"/>
      <c r="D859" s="171"/>
      <c r="E859" s="171"/>
      <c r="I859" s="172"/>
    </row>
    <row r="860">
      <c r="C860" s="171"/>
      <c r="D860" s="171"/>
      <c r="E860" s="171"/>
      <c r="I860" s="172"/>
    </row>
    <row r="861">
      <c r="C861" s="171"/>
      <c r="D861" s="171"/>
      <c r="E861" s="171"/>
      <c r="I861" s="172"/>
    </row>
    <row r="862">
      <c r="C862" s="171"/>
      <c r="D862" s="171"/>
      <c r="E862" s="171"/>
      <c r="I862" s="172"/>
    </row>
    <row r="863">
      <c r="C863" s="171"/>
      <c r="D863" s="171"/>
      <c r="E863" s="171"/>
      <c r="I863" s="172"/>
    </row>
    <row r="864">
      <c r="C864" s="171"/>
      <c r="D864" s="171"/>
      <c r="E864" s="171"/>
      <c r="I864" s="172"/>
    </row>
    <row r="865">
      <c r="C865" s="171"/>
      <c r="D865" s="171"/>
      <c r="E865" s="171"/>
      <c r="I865" s="172"/>
    </row>
    <row r="866">
      <c r="C866" s="171"/>
      <c r="D866" s="171"/>
      <c r="E866" s="171"/>
      <c r="I866" s="172"/>
    </row>
    <row r="867">
      <c r="C867" s="171"/>
      <c r="D867" s="171"/>
      <c r="E867" s="171"/>
      <c r="I867" s="172"/>
    </row>
    <row r="868">
      <c r="C868" s="171"/>
      <c r="D868" s="171"/>
      <c r="E868" s="171"/>
      <c r="I868" s="172"/>
    </row>
    <row r="869">
      <c r="C869" s="171"/>
      <c r="D869" s="171"/>
      <c r="E869" s="171"/>
      <c r="I869" s="172"/>
    </row>
    <row r="870">
      <c r="C870" s="171"/>
      <c r="D870" s="171"/>
      <c r="E870" s="171"/>
      <c r="I870" s="172"/>
    </row>
    <row r="871">
      <c r="C871" s="171"/>
      <c r="D871" s="171"/>
      <c r="E871" s="171"/>
      <c r="I871" s="172"/>
    </row>
    <row r="872">
      <c r="C872" s="171"/>
      <c r="D872" s="171"/>
      <c r="E872" s="171"/>
      <c r="I872" s="172"/>
    </row>
    <row r="873">
      <c r="C873" s="171"/>
      <c r="D873" s="171"/>
      <c r="E873" s="171"/>
      <c r="I873" s="172"/>
    </row>
    <row r="874">
      <c r="C874" s="171"/>
      <c r="D874" s="171"/>
      <c r="E874" s="171"/>
      <c r="I874" s="172"/>
    </row>
    <row r="875">
      <c r="C875" s="171"/>
      <c r="D875" s="171"/>
      <c r="E875" s="171"/>
      <c r="I875" s="172"/>
    </row>
    <row r="876">
      <c r="C876" s="171"/>
      <c r="D876" s="171"/>
      <c r="E876" s="171"/>
      <c r="I876" s="172"/>
    </row>
    <row r="877">
      <c r="C877" s="171"/>
      <c r="D877" s="171"/>
      <c r="E877" s="171"/>
      <c r="I877" s="172"/>
    </row>
    <row r="878">
      <c r="C878" s="171"/>
      <c r="D878" s="171"/>
      <c r="E878" s="171"/>
      <c r="I878" s="172"/>
    </row>
    <row r="879">
      <c r="C879" s="171"/>
      <c r="D879" s="171"/>
      <c r="E879" s="171"/>
      <c r="I879" s="172"/>
    </row>
    <row r="880">
      <c r="C880" s="171"/>
      <c r="D880" s="171"/>
      <c r="E880" s="171"/>
      <c r="I880" s="172"/>
    </row>
    <row r="881">
      <c r="C881" s="171"/>
      <c r="D881" s="171"/>
      <c r="E881" s="171"/>
      <c r="I881" s="172"/>
    </row>
    <row r="882">
      <c r="C882" s="171"/>
      <c r="D882" s="171"/>
      <c r="E882" s="171"/>
      <c r="I882" s="172"/>
    </row>
    <row r="883">
      <c r="C883" s="171"/>
      <c r="D883" s="171"/>
      <c r="E883" s="171"/>
      <c r="I883" s="172"/>
    </row>
    <row r="884">
      <c r="C884" s="171"/>
      <c r="D884" s="171"/>
      <c r="E884" s="171"/>
      <c r="I884" s="172"/>
    </row>
    <row r="885">
      <c r="C885" s="171"/>
      <c r="D885" s="171"/>
      <c r="E885" s="171"/>
      <c r="I885" s="172"/>
    </row>
    <row r="886">
      <c r="C886" s="171"/>
      <c r="D886" s="171"/>
      <c r="E886" s="171"/>
      <c r="I886" s="172"/>
    </row>
    <row r="887">
      <c r="C887" s="171"/>
      <c r="D887" s="171"/>
      <c r="E887" s="171"/>
      <c r="I887" s="172"/>
    </row>
    <row r="888">
      <c r="C888" s="171"/>
      <c r="D888" s="171"/>
      <c r="E888" s="171"/>
      <c r="I888" s="172"/>
    </row>
    <row r="889">
      <c r="C889" s="171"/>
      <c r="D889" s="171"/>
      <c r="E889" s="171"/>
      <c r="I889" s="172"/>
    </row>
    <row r="890">
      <c r="C890" s="171"/>
      <c r="D890" s="171"/>
      <c r="E890" s="171"/>
      <c r="I890" s="172"/>
    </row>
    <row r="891">
      <c r="C891" s="171"/>
      <c r="D891" s="171"/>
      <c r="E891" s="171"/>
      <c r="I891" s="172"/>
    </row>
    <row r="892">
      <c r="C892" s="171"/>
      <c r="D892" s="171"/>
      <c r="E892" s="171"/>
      <c r="I892" s="172"/>
    </row>
    <row r="893">
      <c r="C893" s="171"/>
      <c r="D893" s="171"/>
      <c r="E893" s="171"/>
      <c r="I893" s="172"/>
    </row>
    <row r="894">
      <c r="C894" s="171"/>
      <c r="D894" s="171"/>
      <c r="E894" s="171"/>
      <c r="I894" s="172"/>
    </row>
    <row r="895">
      <c r="C895" s="171"/>
      <c r="D895" s="171"/>
      <c r="E895" s="171"/>
      <c r="I895" s="172"/>
    </row>
    <row r="896">
      <c r="C896" s="171"/>
      <c r="D896" s="171"/>
      <c r="E896" s="171"/>
      <c r="I896" s="172"/>
    </row>
    <row r="897">
      <c r="C897" s="171"/>
      <c r="D897" s="171"/>
      <c r="E897" s="171"/>
      <c r="I897" s="172"/>
    </row>
    <row r="898">
      <c r="C898" s="171"/>
      <c r="D898" s="171"/>
      <c r="E898" s="171"/>
      <c r="I898" s="172"/>
    </row>
    <row r="899">
      <c r="C899" s="171"/>
      <c r="D899" s="171"/>
      <c r="E899" s="171"/>
      <c r="I899" s="172"/>
    </row>
    <row r="900">
      <c r="C900" s="171"/>
      <c r="D900" s="171"/>
      <c r="E900" s="171"/>
      <c r="I900" s="172"/>
    </row>
    <row r="901">
      <c r="C901" s="171"/>
      <c r="D901" s="171"/>
      <c r="E901" s="171"/>
      <c r="I901" s="172"/>
    </row>
    <row r="902">
      <c r="C902" s="171"/>
      <c r="D902" s="171"/>
      <c r="E902" s="171"/>
      <c r="I902" s="172"/>
    </row>
    <row r="903">
      <c r="C903" s="171"/>
      <c r="D903" s="171"/>
      <c r="E903" s="171"/>
      <c r="I903" s="172"/>
    </row>
    <row r="904">
      <c r="C904" s="171"/>
      <c r="D904" s="171"/>
      <c r="E904" s="171"/>
      <c r="I904" s="172"/>
    </row>
    <row r="905">
      <c r="C905" s="171"/>
      <c r="D905" s="171"/>
      <c r="E905" s="171"/>
      <c r="I905" s="172"/>
    </row>
    <row r="906">
      <c r="C906" s="171"/>
      <c r="D906" s="171"/>
      <c r="E906" s="171"/>
      <c r="I906" s="172"/>
    </row>
    <row r="907">
      <c r="C907" s="171"/>
      <c r="D907" s="171"/>
      <c r="E907" s="171"/>
      <c r="I907" s="172"/>
    </row>
    <row r="908">
      <c r="C908" s="171"/>
      <c r="D908" s="171"/>
      <c r="E908" s="171"/>
      <c r="I908" s="172"/>
    </row>
    <row r="909">
      <c r="C909" s="171"/>
      <c r="D909" s="171"/>
      <c r="E909" s="171"/>
      <c r="I909" s="172"/>
    </row>
    <row r="910">
      <c r="C910" s="171"/>
      <c r="D910" s="171"/>
      <c r="E910" s="171"/>
      <c r="I910" s="172"/>
    </row>
    <row r="911">
      <c r="C911" s="171"/>
      <c r="D911" s="171"/>
      <c r="E911" s="171"/>
      <c r="I911" s="172"/>
    </row>
    <row r="912">
      <c r="C912" s="171"/>
      <c r="D912" s="171"/>
      <c r="E912" s="171"/>
      <c r="I912" s="172"/>
    </row>
    <row r="913">
      <c r="C913" s="171"/>
      <c r="D913" s="171"/>
      <c r="E913" s="171"/>
      <c r="I913" s="172"/>
    </row>
    <row r="914">
      <c r="C914" s="171"/>
      <c r="D914" s="171"/>
      <c r="E914" s="171"/>
      <c r="I914" s="172"/>
    </row>
    <row r="915">
      <c r="C915" s="171"/>
      <c r="D915" s="171"/>
      <c r="E915" s="171"/>
      <c r="I915" s="172"/>
    </row>
    <row r="916">
      <c r="C916" s="171"/>
      <c r="D916" s="171"/>
      <c r="E916" s="171"/>
      <c r="I916" s="172"/>
    </row>
    <row r="917">
      <c r="C917" s="171"/>
      <c r="D917" s="171"/>
      <c r="E917" s="171"/>
      <c r="I917" s="172"/>
    </row>
    <row r="918">
      <c r="C918" s="171"/>
      <c r="D918" s="171"/>
      <c r="E918" s="171"/>
      <c r="I918" s="172"/>
    </row>
    <row r="919">
      <c r="C919" s="171"/>
      <c r="D919" s="171"/>
      <c r="E919" s="171"/>
      <c r="I919" s="172"/>
    </row>
    <row r="920">
      <c r="C920" s="171"/>
      <c r="D920" s="171"/>
      <c r="E920" s="171"/>
      <c r="I920" s="172"/>
    </row>
    <row r="921">
      <c r="C921" s="171"/>
      <c r="D921" s="171"/>
      <c r="E921" s="171"/>
      <c r="I921" s="172"/>
    </row>
    <row r="922">
      <c r="C922" s="171"/>
      <c r="D922" s="171"/>
      <c r="E922" s="171"/>
      <c r="I922" s="172"/>
    </row>
    <row r="923">
      <c r="C923" s="171"/>
      <c r="D923" s="171"/>
      <c r="E923" s="171"/>
      <c r="I923" s="172"/>
    </row>
    <row r="924">
      <c r="C924" s="171"/>
      <c r="D924" s="171"/>
      <c r="E924" s="171"/>
      <c r="I924" s="172"/>
    </row>
    <row r="925">
      <c r="C925" s="171"/>
      <c r="D925" s="171"/>
      <c r="E925" s="171"/>
      <c r="I925" s="172"/>
    </row>
    <row r="926">
      <c r="C926" s="171"/>
      <c r="D926" s="171"/>
      <c r="E926" s="171"/>
      <c r="I926" s="172"/>
    </row>
    <row r="927">
      <c r="C927" s="171"/>
      <c r="D927" s="171"/>
      <c r="E927" s="171"/>
      <c r="I927" s="172"/>
    </row>
    <row r="928">
      <c r="C928" s="171"/>
      <c r="D928" s="171"/>
      <c r="E928" s="171"/>
      <c r="I928" s="172"/>
    </row>
    <row r="929">
      <c r="C929" s="171"/>
      <c r="D929" s="171"/>
      <c r="E929" s="171"/>
      <c r="I929" s="172"/>
    </row>
    <row r="930">
      <c r="C930" s="171"/>
      <c r="D930" s="171"/>
      <c r="E930" s="171"/>
      <c r="I930" s="172"/>
    </row>
    <row r="931">
      <c r="C931" s="171"/>
      <c r="D931" s="171"/>
      <c r="E931" s="171"/>
      <c r="I931" s="172"/>
    </row>
    <row r="932">
      <c r="C932" s="171"/>
      <c r="D932" s="171"/>
      <c r="E932" s="171"/>
      <c r="I932" s="172"/>
    </row>
    <row r="933">
      <c r="C933" s="171"/>
      <c r="D933" s="171"/>
      <c r="E933" s="171"/>
      <c r="I933" s="172"/>
    </row>
    <row r="934">
      <c r="C934" s="171"/>
      <c r="D934" s="171"/>
      <c r="E934" s="171"/>
      <c r="I934" s="172"/>
    </row>
    <row r="935">
      <c r="C935" s="171"/>
      <c r="D935" s="171"/>
      <c r="E935" s="171"/>
      <c r="I935" s="172"/>
    </row>
    <row r="936">
      <c r="C936" s="171"/>
      <c r="D936" s="171"/>
      <c r="E936" s="171"/>
      <c r="I936" s="172"/>
    </row>
    <row r="937">
      <c r="C937" s="171"/>
      <c r="D937" s="171"/>
      <c r="E937" s="171"/>
      <c r="I937" s="172"/>
    </row>
    <row r="938">
      <c r="C938" s="171"/>
      <c r="D938" s="171"/>
      <c r="E938" s="171"/>
      <c r="I938" s="172"/>
    </row>
    <row r="939">
      <c r="C939" s="171"/>
      <c r="D939" s="171"/>
      <c r="E939" s="171"/>
      <c r="I939" s="172"/>
    </row>
    <row r="940">
      <c r="C940" s="171"/>
      <c r="D940" s="171"/>
      <c r="E940" s="171"/>
      <c r="I940" s="172"/>
    </row>
    <row r="941">
      <c r="C941" s="171"/>
      <c r="D941" s="171"/>
      <c r="E941" s="171"/>
      <c r="I941" s="172"/>
    </row>
    <row r="942">
      <c r="C942" s="171"/>
      <c r="D942" s="171"/>
      <c r="E942" s="171"/>
      <c r="I942" s="172"/>
    </row>
    <row r="943">
      <c r="C943" s="171"/>
      <c r="D943" s="171"/>
      <c r="E943" s="171"/>
      <c r="I943" s="172"/>
    </row>
    <row r="944">
      <c r="C944" s="171"/>
      <c r="D944" s="171"/>
      <c r="E944" s="171"/>
      <c r="I944" s="172"/>
    </row>
    <row r="945">
      <c r="C945" s="171"/>
      <c r="D945" s="171"/>
      <c r="E945" s="171"/>
      <c r="I945" s="172"/>
    </row>
    <row r="946">
      <c r="C946" s="171"/>
      <c r="D946" s="171"/>
      <c r="E946" s="171"/>
      <c r="I946" s="172"/>
    </row>
    <row r="947">
      <c r="C947" s="171"/>
      <c r="D947" s="171"/>
      <c r="E947" s="171"/>
      <c r="I947" s="172"/>
    </row>
    <row r="948">
      <c r="C948" s="171"/>
      <c r="D948" s="171"/>
      <c r="E948" s="171"/>
      <c r="I948" s="172"/>
    </row>
    <row r="949">
      <c r="C949" s="171"/>
      <c r="D949" s="171"/>
      <c r="E949" s="171"/>
      <c r="I949" s="172"/>
    </row>
    <row r="950">
      <c r="C950" s="171"/>
      <c r="D950" s="171"/>
      <c r="E950" s="171"/>
      <c r="I950" s="172"/>
    </row>
    <row r="951">
      <c r="C951" s="171"/>
      <c r="D951" s="171"/>
      <c r="E951" s="171"/>
      <c r="I951" s="172"/>
    </row>
    <row r="952">
      <c r="C952" s="171"/>
      <c r="D952" s="171"/>
      <c r="E952" s="171"/>
      <c r="I952" s="172"/>
    </row>
    <row r="953">
      <c r="C953" s="171"/>
      <c r="D953" s="171"/>
      <c r="E953" s="171"/>
      <c r="I953" s="172"/>
    </row>
    <row r="954">
      <c r="C954" s="171"/>
      <c r="D954" s="171"/>
      <c r="E954" s="171"/>
      <c r="I954" s="172"/>
    </row>
    <row r="955">
      <c r="C955" s="171"/>
      <c r="D955" s="171"/>
      <c r="E955" s="171"/>
      <c r="I955" s="172"/>
    </row>
    <row r="956">
      <c r="C956" s="171"/>
      <c r="D956" s="171"/>
      <c r="E956" s="171"/>
      <c r="I956" s="172"/>
    </row>
    <row r="957">
      <c r="C957" s="171"/>
      <c r="D957" s="171"/>
      <c r="E957" s="171"/>
      <c r="I957" s="172"/>
    </row>
    <row r="958">
      <c r="C958" s="171"/>
      <c r="D958" s="171"/>
      <c r="E958" s="171"/>
      <c r="I958" s="172"/>
    </row>
    <row r="959">
      <c r="C959" s="171"/>
      <c r="D959" s="171"/>
      <c r="E959" s="171"/>
      <c r="I959" s="172"/>
    </row>
    <row r="960">
      <c r="C960" s="171"/>
      <c r="D960" s="171"/>
      <c r="E960" s="171"/>
      <c r="I960" s="172"/>
    </row>
    <row r="961">
      <c r="C961" s="171"/>
      <c r="D961" s="171"/>
      <c r="E961" s="171"/>
      <c r="I961" s="172"/>
    </row>
    <row r="962">
      <c r="C962" s="171"/>
      <c r="D962" s="171"/>
      <c r="E962" s="171"/>
      <c r="I962" s="172"/>
    </row>
    <row r="963">
      <c r="C963" s="171"/>
      <c r="D963" s="171"/>
      <c r="E963" s="171"/>
      <c r="I963" s="172"/>
    </row>
    <row r="964">
      <c r="C964" s="171"/>
      <c r="D964" s="171"/>
      <c r="E964" s="171"/>
      <c r="I964" s="172"/>
    </row>
    <row r="965">
      <c r="C965" s="171"/>
      <c r="D965" s="171"/>
      <c r="E965" s="171"/>
      <c r="I965" s="172"/>
    </row>
    <row r="966">
      <c r="C966" s="171"/>
      <c r="D966" s="171"/>
      <c r="E966" s="171"/>
      <c r="I966" s="172"/>
    </row>
    <row r="967">
      <c r="C967" s="171"/>
      <c r="D967" s="171"/>
      <c r="E967" s="171"/>
      <c r="I967" s="172"/>
    </row>
    <row r="968">
      <c r="C968" s="171"/>
      <c r="D968" s="171"/>
      <c r="E968" s="171"/>
      <c r="I968" s="172"/>
    </row>
    <row r="969">
      <c r="C969" s="171"/>
      <c r="D969" s="171"/>
      <c r="E969" s="171"/>
      <c r="I969" s="172"/>
    </row>
    <row r="970">
      <c r="C970" s="171"/>
      <c r="D970" s="171"/>
      <c r="E970" s="171"/>
      <c r="I970" s="172"/>
    </row>
    <row r="971">
      <c r="C971" s="171"/>
      <c r="D971" s="171"/>
      <c r="E971" s="171"/>
      <c r="I971" s="172"/>
    </row>
    <row r="972">
      <c r="C972" s="171"/>
      <c r="D972" s="171"/>
      <c r="E972" s="171"/>
      <c r="I972" s="172"/>
    </row>
    <row r="973">
      <c r="C973" s="171"/>
      <c r="D973" s="171"/>
      <c r="E973" s="171"/>
      <c r="I973" s="172"/>
    </row>
    <row r="974">
      <c r="C974" s="171"/>
      <c r="D974" s="171"/>
      <c r="E974" s="171"/>
      <c r="I974" s="172"/>
    </row>
    <row r="975">
      <c r="C975" s="171"/>
      <c r="D975" s="171"/>
      <c r="E975" s="171"/>
      <c r="I975" s="172"/>
    </row>
    <row r="976">
      <c r="C976" s="171"/>
      <c r="D976" s="171"/>
      <c r="E976" s="171"/>
      <c r="I976" s="172"/>
    </row>
    <row r="977">
      <c r="C977" s="171"/>
      <c r="D977" s="171"/>
      <c r="E977" s="171"/>
      <c r="I977" s="172"/>
    </row>
    <row r="978">
      <c r="C978" s="171"/>
      <c r="D978" s="171"/>
      <c r="E978" s="171"/>
      <c r="I978" s="172"/>
    </row>
    <row r="979">
      <c r="C979" s="171"/>
      <c r="D979" s="171"/>
      <c r="E979" s="171"/>
      <c r="I979" s="172"/>
    </row>
    <row r="980">
      <c r="C980" s="171"/>
      <c r="D980" s="171"/>
      <c r="E980" s="171"/>
      <c r="I980" s="172"/>
    </row>
    <row r="981">
      <c r="C981" s="171"/>
      <c r="D981" s="171"/>
      <c r="E981" s="171"/>
      <c r="I981" s="172"/>
    </row>
    <row r="982">
      <c r="C982" s="171"/>
      <c r="D982" s="171"/>
      <c r="E982" s="171"/>
      <c r="I982" s="172"/>
    </row>
    <row r="983">
      <c r="C983" s="171"/>
      <c r="D983" s="171"/>
      <c r="E983" s="171"/>
      <c r="I983" s="172"/>
    </row>
    <row r="984">
      <c r="C984" s="171"/>
      <c r="D984" s="171"/>
      <c r="E984" s="171"/>
      <c r="I984" s="172"/>
    </row>
    <row r="985">
      <c r="C985" s="171"/>
      <c r="D985" s="171"/>
      <c r="E985" s="171"/>
      <c r="I985" s="172"/>
    </row>
    <row r="986">
      <c r="C986" s="171"/>
      <c r="D986" s="171"/>
      <c r="E986" s="171"/>
      <c r="I986" s="172"/>
    </row>
    <row r="987">
      <c r="C987" s="171"/>
      <c r="D987" s="171"/>
      <c r="E987" s="171"/>
      <c r="I987" s="172"/>
    </row>
    <row r="988">
      <c r="C988" s="171"/>
      <c r="D988" s="171"/>
      <c r="E988" s="171"/>
      <c r="I988" s="172"/>
    </row>
    <row r="989">
      <c r="C989" s="171"/>
      <c r="D989" s="171"/>
      <c r="E989" s="171"/>
      <c r="I989" s="172"/>
    </row>
    <row r="990">
      <c r="C990" s="171"/>
      <c r="D990" s="171"/>
      <c r="E990" s="171"/>
      <c r="I990" s="172"/>
    </row>
    <row r="991">
      <c r="C991" s="171"/>
      <c r="D991" s="171"/>
      <c r="E991" s="171"/>
      <c r="I991" s="172"/>
    </row>
    <row r="992">
      <c r="C992" s="171"/>
      <c r="D992" s="171"/>
      <c r="E992" s="171"/>
      <c r="I992" s="172"/>
    </row>
    <row r="993">
      <c r="C993" s="171"/>
      <c r="D993" s="171"/>
      <c r="E993" s="171"/>
      <c r="I993" s="172"/>
    </row>
    <row r="994">
      <c r="C994" s="171"/>
      <c r="D994" s="171"/>
      <c r="E994" s="171"/>
      <c r="I994" s="172"/>
    </row>
    <row r="995">
      <c r="C995" s="171"/>
      <c r="D995" s="171"/>
      <c r="E995" s="171"/>
      <c r="I995" s="172"/>
    </row>
    <row r="996">
      <c r="C996" s="171"/>
      <c r="D996" s="171"/>
      <c r="E996" s="171"/>
      <c r="I996" s="172"/>
    </row>
    <row r="997">
      <c r="C997" s="171"/>
      <c r="D997" s="171"/>
      <c r="E997" s="171"/>
      <c r="I997" s="172"/>
    </row>
    <row r="998">
      <c r="C998" s="171"/>
      <c r="D998" s="171"/>
      <c r="E998" s="171"/>
      <c r="I998" s="172"/>
    </row>
    <row r="999">
      <c r="C999" s="171"/>
      <c r="D999" s="171"/>
      <c r="E999" s="171"/>
      <c r="I999" s="172"/>
    </row>
  </sheetData>
  <dataValidations>
    <dataValidation type="list" allowBlank="1" sqref="G2:G318">
      <formula1>"ACC,CANCEL,PENDING"</formula1>
    </dataValidation>
    <dataValidation type="custom" allowBlank="1" showDropDown="1" sqref="C2:F318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4.0"/>
    <col customWidth="1" min="3" max="4" width="19.25"/>
    <col customWidth="1" min="5" max="5" width="19.5"/>
    <col customWidth="1" min="6" max="6" width="15.63"/>
    <col customWidth="1" min="7" max="7" width="16.75"/>
    <col customWidth="1" min="8" max="8" width="17.25"/>
    <col customWidth="1" min="9" max="9" width="17.5"/>
    <col customWidth="1" min="10" max="10" width="13.63"/>
    <col customWidth="1" min="11" max="11" width="52.88"/>
  </cols>
  <sheetData>
    <row r="1" ht="22.5" customHeight="1">
      <c r="A1" s="14" t="s">
        <v>0</v>
      </c>
      <c r="B1" s="14" t="s">
        <v>2</v>
      </c>
      <c r="C1" s="18" t="s">
        <v>13</v>
      </c>
      <c r="D1" s="20" t="s">
        <v>14</v>
      </c>
      <c r="E1" s="22" t="s">
        <v>17</v>
      </c>
      <c r="F1" s="27" t="s">
        <v>5</v>
      </c>
      <c r="G1" s="14" t="s">
        <v>21</v>
      </c>
      <c r="H1" s="14" t="s">
        <v>7</v>
      </c>
      <c r="I1" s="32" t="s">
        <v>23</v>
      </c>
      <c r="J1" s="14" t="s">
        <v>8</v>
      </c>
      <c r="K1" s="33" t="s">
        <v>10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ht="22.5" customHeight="1">
      <c r="A2" s="37" t="s">
        <v>28</v>
      </c>
      <c r="B2" s="40">
        <v>46114.0</v>
      </c>
      <c r="C2" s="42"/>
      <c r="D2" s="44">
        <v>4.8E7</v>
      </c>
      <c r="E2" s="45">
        <v>4.8E7</v>
      </c>
      <c r="F2" s="19">
        <v>4.8E7</v>
      </c>
      <c r="G2" s="19">
        <f t="shared" ref="G2:G938" si="1">F2-D2</f>
        <v>0</v>
      </c>
      <c r="H2" s="48" t="s">
        <v>15</v>
      </c>
      <c r="I2" s="51">
        <f t="shared" ref="I2:I25" si="2">G2/E2*100%</f>
        <v>0</v>
      </c>
      <c r="J2" s="53" t="s">
        <v>19</v>
      </c>
      <c r="K2" s="53" t="s">
        <v>45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ht="22.5" customHeight="1">
      <c r="A3" s="55" t="s">
        <v>50</v>
      </c>
      <c r="B3" s="56">
        <v>46114.0</v>
      </c>
      <c r="C3" s="57" t="s">
        <v>53</v>
      </c>
      <c r="D3" s="59">
        <v>1.6E7</v>
      </c>
      <c r="E3" s="60">
        <v>1.6E7</v>
      </c>
      <c r="F3" s="15">
        <v>1.6E7</v>
      </c>
      <c r="G3" s="15">
        <f t="shared" si="1"/>
        <v>0</v>
      </c>
      <c r="H3" s="62" t="s">
        <v>15</v>
      </c>
      <c r="I3" s="64">
        <f t="shared" si="2"/>
        <v>0</v>
      </c>
      <c r="J3" s="65" t="s">
        <v>19</v>
      </c>
      <c r="K3" s="65" t="s">
        <v>45</v>
      </c>
    </row>
    <row r="4" ht="22.5" customHeight="1">
      <c r="A4" s="55" t="s">
        <v>66</v>
      </c>
      <c r="B4" s="56">
        <v>46114.0</v>
      </c>
      <c r="C4" s="67">
        <v>46118.0</v>
      </c>
      <c r="D4" s="59">
        <v>3.0E7</v>
      </c>
      <c r="E4" s="60">
        <v>3.0E7</v>
      </c>
      <c r="F4" s="15">
        <v>3.0E7</v>
      </c>
      <c r="G4" s="15">
        <f t="shared" si="1"/>
        <v>0</v>
      </c>
      <c r="H4" s="62" t="s">
        <v>15</v>
      </c>
      <c r="I4" s="64">
        <f t="shared" si="2"/>
        <v>0</v>
      </c>
      <c r="J4" s="65" t="s">
        <v>19</v>
      </c>
      <c r="K4" s="65" t="s">
        <v>45</v>
      </c>
    </row>
    <row r="5" ht="22.5" customHeight="1">
      <c r="A5" s="55" t="s">
        <v>76</v>
      </c>
      <c r="B5" s="56">
        <v>46114.0</v>
      </c>
      <c r="C5" s="57" t="s">
        <v>78</v>
      </c>
      <c r="D5" s="59">
        <v>5.0E7</v>
      </c>
      <c r="E5" s="60">
        <v>8.0E7</v>
      </c>
      <c r="F5" s="15">
        <v>6.25E7</v>
      </c>
      <c r="G5" s="15">
        <f t="shared" si="1"/>
        <v>12500000</v>
      </c>
      <c r="H5" s="62" t="s">
        <v>15</v>
      </c>
      <c r="I5" s="64">
        <f t="shared" si="2"/>
        <v>0.15625</v>
      </c>
      <c r="J5" s="65" t="s">
        <v>19</v>
      </c>
      <c r="K5" s="65" t="s">
        <v>45</v>
      </c>
    </row>
    <row r="6" ht="22.5" customHeight="1">
      <c r="A6" s="55" t="s">
        <v>83</v>
      </c>
      <c r="B6" s="56">
        <v>46114.0</v>
      </c>
      <c r="C6" s="69">
        <v>46135.0</v>
      </c>
      <c r="D6" s="59">
        <v>4.5E7</v>
      </c>
      <c r="E6" s="60">
        <v>5.0E7</v>
      </c>
      <c r="F6" s="15">
        <v>4.5E7</v>
      </c>
      <c r="G6" s="15">
        <f t="shared" si="1"/>
        <v>0</v>
      </c>
      <c r="H6" s="62" t="s">
        <v>15</v>
      </c>
      <c r="I6" s="64">
        <f t="shared" si="2"/>
        <v>0</v>
      </c>
      <c r="J6" s="65" t="s">
        <v>19</v>
      </c>
      <c r="K6" s="65" t="s">
        <v>90</v>
      </c>
    </row>
    <row r="7" ht="22.5" customHeight="1">
      <c r="A7" s="55" t="s">
        <v>93</v>
      </c>
      <c r="B7" s="56">
        <v>46114.0</v>
      </c>
      <c r="C7" s="57" t="s">
        <v>94</v>
      </c>
      <c r="D7" s="59">
        <v>3.5E7</v>
      </c>
      <c r="E7" s="60">
        <v>3.5E7</v>
      </c>
      <c r="F7" s="15">
        <v>3.5E7</v>
      </c>
      <c r="G7" s="15">
        <f t="shared" si="1"/>
        <v>0</v>
      </c>
      <c r="H7" s="62" t="s">
        <v>15</v>
      </c>
      <c r="I7" s="64">
        <f t="shared" si="2"/>
        <v>0</v>
      </c>
      <c r="J7" s="65" t="s">
        <v>19</v>
      </c>
      <c r="K7" s="65" t="s">
        <v>45</v>
      </c>
    </row>
    <row r="8" ht="22.5" customHeight="1">
      <c r="A8" s="55" t="s">
        <v>103</v>
      </c>
      <c r="B8" s="56">
        <v>46114.0</v>
      </c>
      <c r="C8" s="57" t="s">
        <v>105</v>
      </c>
      <c r="D8" s="59">
        <v>5.0E7</v>
      </c>
      <c r="E8" s="60">
        <v>7.0E7</v>
      </c>
      <c r="F8" s="15">
        <v>6.5E7</v>
      </c>
      <c r="G8" s="15">
        <f t="shared" si="1"/>
        <v>15000000</v>
      </c>
      <c r="H8" s="62" t="s">
        <v>15</v>
      </c>
      <c r="I8" s="64">
        <f t="shared" si="2"/>
        <v>0.2142857143</v>
      </c>
      <c r="J8" s="65" t="s">
        <v>19</v>
      </c>
      <c r="K8" s="65" t="s">
        <v>90</v>
      </c>
    </row>
    <row r="9" ht="22.5" customHeight="1">
      <c r="A9" s="55" t="s">
        <v>113</v>
      </c>
      <c r="B9" s="56">
        <v>46114.0</v>
      </c>
      <c r="C9" s="69">
        <v>46128.0</v>
      </c>
      <c r="D9" s="59">
        <v>6.5E7</v>
      </c>
      <c r="E9" s="60">
        <v>7.5E7</v>
      </c>
      <c r="F9" s="15">
        <v>6.5E7</v>
      </c>
      <c r="G9" s="15">
        <f t="shared" si="1"/>
        <v>0</v>
      </c>
      <c r="H9" s="62" t="s">
        <v>15</v>
      </c>
      <c r="I9" s="64">
        <f t="shared" si="2"/>
        <v>0</v>
      </c>
      <c r="J9" s="65" t="s">
        <v>19</v>
      </c>
      <c r="K9" s="65" t="s">
        <v>90</v>
      </c>
    </row>
    <row r="10" ht="22.5" customHeight="1">
      <c r="A10" s="55" t="s">
        <v>125</v>
      </c>
      <c r="B10" s="56">
        <v>46114.0</v>
      </c>
      <c r="C10" s="57" t="s">
        <v>126</v>
      </c>
      <c r="D10" s="59">
        <v>3.0E7</v>
      </c>
      <c r="E10" s="60">
        <v>3.5E7</v>
      </c>
      <c r="F10" s="15">
        <v>3.5E7</v>
      </c>
      <c r="G10" s="15">
        <f t="shared" si="1"/>
        <v>5000000</v>
      </c>
      <c r="H10" s="62" t="s">
        <v>15</v>
      </c>
      <c r="I10" s="64">
        <f t="shared" si="2"/>
        <v>0.1428571429</v>
      </c>
      <c r="J10" s="65" t="s">
        <v>19</v>
      </c>
      <c r="K10" s="65" t="s">
        <v>90</v>
      </c>
    </row>
    <row r="11" ht="22.5" customHeight="1">
      <c r="A11" s="55" t="s">
        <v>133</v>
      </c>
      <c r="B11" s="56">
        <v>46114.0</v>
      </c>
      <c r="C11" s="71"/>
      <c r="D11" s="59">
        <v>1.5E7</v>
      </c>
      <c r="E11" s="60">
        <v>4.0E7</v>
      </c>
      <c r="F11" s="15">
        <v>4.0E7</v>
      </c>
      <c r="G11" s="15">
        <f t="shared" si="1"/>
        <v>25000000</v>
      </c>
      <c r="H11" s="72" t="s">
        <v>38</v>
      </c>
      <c r="I11" s="64">
        <f t="shared" si="2"/>
        <v>0.625</v>
      </c>
      <c r="J11" s="65" t="s">
        <v>19</v>
      </c>
      <c r="K11" s="65" t="s">
        <v>90</v>
      </c>
    </row>
    <row r="12" ht="22.5" customHeight="1">
      <c r="A12" s="55" t="s">
        <v>144</v>
      </c>
      <c r="B12" s="11" t="s">
        <v>146</v>
      </c>
      <c r="C12" s="57" t="s">
        <v>148</v>
      </c>
      <c r="D12" s="59">
        <v>2.0E7</v>
      </c>
      <c r="E12" s="60">
        <v>2.0E7</v>
      </c>
      <c r="F12" s="15">
        <v>2.0E7</v>
      </c>
      <c r="G12" s="15">
        <f t="shared" si="1"/>
        <v>0</v>
      </c>
      <c r="H12" s="62" t="s">
        <v>15</v>
      </c>
      <c r="I12" s="64">
        <f t="shared" si="2"/>
        <v>0</v>
      </c>
      <c r="J12" s="65" t="s">
        <v>19</v>
      </c>
      <c r="K12" s="65" t="s">
        <v>45</v>
      </c>
    </row>
    <row r="13" ht="22.5" customHeight="1">
      <c r="A13" s="55" t="s">
        <v>156</v>
      </c>
      <c r="B13" s="11" t="s">
        <v>158</v>
      </c>
      <c r="C13" s="57" t="s">
        <v>159</v>
      </c>
      <c r="D13" s="59">
        <v>2.0E7</v>
      </c>
      <c r="E13" s="60">
        <v>2.0E7</v>
      </c>
      <c r="F13" s="15">
        <v>2.0E7</v>
      </c>
      <c r="G13" s="15">
        <f t="shared" si="1"/>
        <v>0</v>
      </c>
      <c r="H13" s="62" t="s">
        <v>15</v>
      </c>
      <c r="I13" s="64">
        <f t="shared" si="2"/>
        <v>0</v>
      </c>
      <c r="J13" s="65" t="s">
        <v>19</v>
      </c>
      <c r="K13" s="65" t="s">
        <v>164</v>
      </c>
    </row>
    <row r="14" ht="22.5" customHeight="1">
      <c r="A14" s="55" t="s">
        <v>167</v>
      </c>
      <c r="B14" s="56">
        <v>46056.0</v>
      </c>
      <c r="C14" s="57" t="s">
        <v>168</v>
      </c>
      <c r="D14" s="59">
        <v>5.0E7</v>
      </c>
      <c r="E14" s="60">
        <v>5.0E7</v>
      </c>
      <c r="F14" s="15">
        <v>5.0E7</v>
      </c>
      <c r="G14" s="15">
        <f t="shared" si="1"/>
        <v>0</v>
      </c>
      <c r="H14" s="62" t="s">
        <v>15</v>
      </c>
      <c r="I14" s="64">
        <f t="shared" si="2"/>
        <v>0</v>
      </c>
      <c r="J14" s="65" t="s">
        <v>19</v>
      </c>
      <c r="K14" s="65" t="s">
        <v>45</v>
      </c>
    </row>
    <row r="15" ht="22.5" customHeight="1">
      <c r="A15" s="55" t="s">
        <v>173</v>
      </c>
      <c r="B15" s="56">
        <v>46056.0</v>
      </c>
      <c r="C15" s="57" t="s">
        <v>168</v>
      </c>
      <c r="D15" s="59">
        <v>5.0E7</v>
      </c>
      <c r="E15" s="60">
        <v>5.0E7</v>
      </c>
      <c r="F15" s="15">
        <v>5.0E7</v>
      </c>
      <c r="G15" s="15">
        <f t="shared" si="1"/>
        <v>0</v>
      </c>
      <c r="H15" s="72" t="s">
        <v>38</v>
      </c>
      <c r="I15" s="64">
        <f t="shared" si="2"/>
        <v>0</v>
      </c>
      <c r="J15" s="65" t="s">
        <v>19</v>
      </c>
      <c r="K15" s="65" t="s">
        <v>45</v>
      </c>
    </row>
    <row r="16" ht="22.5" customHeight="1">
      <c r="A16" s="55" t="s">
        <v>182</v>
      </c>
      <c r="B16" s="56">
        <v>46056.0</v>
      </c>
      <c r="C16" s="71"/>
      <c r="D16" s="59">
        <v>4.0E7</v>
      </c>
      <c r="E16" s="60">
        <v>4.5E7</v>
      </c>
      <c r="F16" s="15">
        <v>4.5E7</v>
      </c>
      <c r="G16" s="15">
        <f t="shared" si="1"/>
        <v>5000000</v>
      </c>
      <c r="H16" s="72" t="s">
        <v>38</v>
      </c>
      <c r="I16" s="64">
        <f t="shared" si="2"/>
        <v>0.1111111111</v>
      </c>
      <c r="J16" s="65" t="s">
        <v>19</v>
      </c>
      <c r="K16" s="65" t="s">
        <v>90</v>
      </c>
    </row>
    <row r="17" ht="22.5" customHeight="1">
      <c r="A17" s="55" t="s">
        <v>188</v>
      </c>
      <c r="B17" s="56">
        <v>46056.0</v>
      </c>
      <c r="C17" s="57" t="s">
        <v>192</v>
      </c>
      <c r="D17" s="59">
        <v>2.6E7</v>
      </c>
      <c r="E17" s="60">
        <v>3.5E7</v>
      </c>
      <c r="F17" s="15">
        <v>3.0E7</v>
      </c>
      <c r="G17" s="15">
        <f t="shared" si="1"/>
        <v>4000000</v>
      </c>
      <c r="H17" s="62" t="s">
        <v>15</v>
      </c>
      <c r="I17" s="64">
        <f t="shared" si="2"/>
        <v>0.1142857143</v>
      </c>
      <c r="J17" s="65" t="s">
        <v>19</v>
      </c>
      <c r="K17" s="65" t="s">
        <v>90</v>
      </c>
    </row>
    <row r="18" ht="22.5" customHeight="1">
      <c r="A18" s="55" t="s">
        <v>198</v>
      </c>
      <c r="B18" s="56">
        <v>46056.0</v>
      </c>
      <c r="C18" s="57" t="s">
        <v>201</v>
      </c>
      <c r="D18" s="59">
        <v>5.5E7</v>
      </c>
      <c r="E18" s="60">
        <v>6.05E7</v>
      </c>
      <c r="F18" s="15">
        <v>5.775E7</v>
      </c>
      <c r="G18" s="15">
        <f t="shared" si="1"/>
        <v>2750000</v>
      </c>
      <c r="H18" s="62" t="s">
        <v>15</v>
      </c>
      <c r="I18" s="64">
        <f t="shared" si="2"/>
        <v>0.04545454545</v>
      </c>
      <c r="J18" s="65" t="s">
        <v>19</v>
      </c>
      <c r="K18" s="65" t="s">
        <v>90</v>
      </c>
    </row>
    <row r="19" ht="22.5" customHeight="1">
      <c r="A19" s="55" t="s">
        <v>206</v>
      </c>
      <c r="B19" s="56">
        <v>46056.0</v>
      </c>
      <c r="C19" s="69">
        <v>46125.0</v>
      </c>
      <c r="D19" s="59">
        <v>8.0E7</v>
      </c>
      <c r="E19" s="60">
        <v>8.25E7</v>
      </c>
      <c r="F19" s="15">
        <v>8.25E7</v>
      </c>
      <c r="G19" s="15">
        <f t="shared" si="1"/>
        <v>2500000</v>
      </c>
      <c r="H19" s="62" t="s">
        <v>15</v>
      </c>
      <c r="I19" s="64">
        <f t="shared" si="2"/>
        <v>0.0303030303</v>
      </c>
      <c r="J19" s="65" t="s">
        <v>19</v>
      </c>
      <c r="K19" s="65" t="s">
        <v>211</v>
      </c>
    </row>
    <row r="20" ht="22.5" customHeight="1">
      <c r="A20" s="55" t="s">
        <v>214</v>
      </c>
      <c r="B20" s="56">
        <v>46026.0</v>
      </c>
      <c r="C20" s="67">
        <v>46120.0</v>
      </c>
      <c r="D20" s="59">
        <v>1.8E7</v>
      </c>
      <c r="E20" s="60">
        <v>1.8E7</v>
      </c>
      <c r="F20" s="15">
        <v>1.8E7</v>
      </c>
      <c r="G20" s="15">
        <f t="shared" si="1"/>
        <v>0</v>
      </c>
      <c r="H20" s="62" t="s">
        <v>15</v>
      </c>
      <c r="I20" s="64">
        <f t="shared" si="2"/>
        <v>0</v>
      </c>
      <c r="J20" s="65" t="s">
        <v>19</v>
      </c>
      <c r="K20" s="65" t="s">
        <v>45</v>
      </c>
    </row>
    <row r="21" ht="22.5" customHeight="1">
      <c r="A21" s="55" t="s">
        <v>220</v>
      </c>
      <c r="B21" s="56">
        <v>46026.0</v>
      </c>
      <c r="C21" s="57" t="s">
        <v>126</v>
      </c>
      <c r="D21" s="59">
        <v>2.2E7</v>
      </c>
      <c r="E21" s="60">
        <v>2.5E7</v>
      </c>
      <c r="F21" s="15">
        <v>2.5E7</v>
      </c>
      <c r="G21" s="15">
        <f t="shared" si="1"/>
        <v>3000000</v>
      </c>
      <c r="H21" s="62" t="s">
        <v>15</v>
      </c>
      <c r="I21" s="64">
        <f t="shared" si="2"/>
        <v>0.12</v>
      </c>
      <c r="J21" s="65" t="s">
        <v>19</v>
      </c>
      <c r="K21" s="65" t="s">
        <v>90</v>
      </c>
    </row>
    <row r="22" ht="22.5" customHeight="1">
      <c r="A22" s="55" t="s">
        <v>227</v>
      </c>
      <c r="B22" s="56">
        <v>46026.0</v>
      </c>
      <c r="C22" s="69">
        <v>46122.0</v>
      </c>
      <c r="D22" s="59">
        <v>3.0E7</v>
      </c>
      <c r="E22" s="60">
        <v>3.0E7</v>
      </c>
      <c r="F22" s="15">
        <v>3.0E7</v>
      </c>
      <c r="G22" s="15">
        <f t="shared" si="1"/>
        <v>0</v>
      </c>
      <c r="H22" s="62" t="s">
        <v>15</v>
      </c>
      <c r="I22" s="64">
        <f t="shared" si="2"/>
        <v>0</v>
      </c>
      <c r="J22" s="65" t="s">
        <v>19</v>
      </c>
      <c r="K22" s="65" t="s">
        <v>45</v>
      </c>
    </row>
    <row r="23" ht="22.5" customHeight="1">
      <c r="A23" s="55" t="s">
        <v>234</v>
      </c>
      <c r="B23" s="56">
        <v>46026.0</v>
      </c>
      <c r="C23" s="57" t="s">
        <v>235</v>
      </c>
      <c r="D23" s="76">
        <v>4.85E7</v>
      </c>
      <c r="E23" s="60">
        <v>5000000.0</v>
      </c>
      <c r="F23" s="15">
        <v>5.0E7</v>
      </c>
      <c r="G23" s="15">
        <f t="shared" si="1"/>
        <v>1500000</v>
      </c>
      <c r="H23" s="62" t="s">
        <v>15</v>
      </c>
      <c r="I23" s="64">
        <f t="shared" si="2"/>
        <v>0.3</v>
      </c>
      <c r="J23" s="65" t="s">
        <v>19</v>
      </c>
      <c r="K23" s="65" t="s">
        <v>90</v>
      </c>
    </row>
    <row r="24" ht="22.5" customHeight="1">
      <c r="A24" s="55" t="s">
        <v>242</v>
      </c>
      <c r="B24" s="56">
        <v>46026.0</v>
      </c>
      <c r="C24" s="69">
        <v>46123.0</v>
      </c>
      <c r="D24" s="59">
        <v>4.0E7</v>
      </c>
      <c r="E24" s="60">
        <v>4.0E7</v>
      </c>
      <c r="F24" s="15">
        <v>4.0E7</v>
      </c>
      <c r="G24" s="15">
        <f t="shared" si="1"/>
        <v>0</v>
      </c>
      <c r="H24" s="62" t="s">
        <v>15</v>
      </c>
      <c r="I24" s="64">
        <f t="shared" si="2"/>
        <v>0</v>
      </c>
      <c r="J24" s="65" t="s">
        <v>19</v>
      </c>
      <c r="K24" s="65" t="s">
        <v>251</v>
      </c>
    </row>
    <row r="25" ht="22.5" customHeight="1">
      <c r="A25" s="55" t="s">
        <v>253</v>
      </c>
      <c r="B25" s="56">
        <v>46026.0</v>
      </c>
      <c r="C25" s="69">
        <v>46126.0</v>
      </c>
      <c r="D25" s="59">
        <v>2.0E7</v>
      </c>
      <c r="E25" s="60">
        <v>2.0E7</v>
      </c>
      <c r="F25" s="15">
        <v>2.0E7</v>
      </c>
      <c r="G25" s="15">
        <f t="shared" si="1"/>
        <v>0</v>
      </c>
      <c r="H25" s="62" t="s">
        <v>15</v>
      </c>
      <c r="I25" s="64">
        <f t="shared" si="2"/>
        <v>0</v>
      </c>
      <c r="J25" s="65" t="s">
        <v>19</v>
      </c>
      <c r="K25" s="65" t="s">
        <v>251</v>
      </c>
    </row>
    <row r="26" ht="22.5" customHeight="1">
      <c r="A26" s="55" t="s">
        <v>259</v>
      </c>
      <c r="B26" s="56">
        <v>46026.0</v>
      </c>
      <c r="C26" s="77"/>
      <c r="D26" s="78"/>
      <c r="E26" s="79"/>
      <c r="F26" s="80"/>
      <c r="G26" s="15">
        <f t="shared" si="1"/>
        <v>0</v>
      </c>
      <c r="H26" s="72" t="s">
        <v>38</v>
      </c>
      <c r="I26" s="64"/>
      <c r="J26" s="65" t="s">
        <v>19</v>
      </c>
      <c r="K26" s="65" t="s">
        <v>266</v>
      </c>
    </row>
    <row r="27" ht="22.5" customHeight="1">
      <c r="A27" s="55" t="s">
        <v>268</v>
      </c>
      <c r="B27" s="56">
        <v>46057.0</v>
      </c>
      <c r="C27" s="71"/>
      <c r="D27" s="59">
        <v>2.6E7</v>
      </c>
      <c r="E27" s="60">
        <v>3.5E7</v>
      </c>
      <c r="F27" s="15">
        <v>3.2E7</v>
      </c>
      <c r="G27" s="15">
        <f t="shared" si="1"/>
        <v>6000000</v>
      </c>
      <c r="H27" s="72" t="s">
        <v>38</v>
      </c>
      <c r="I27" s="64">
        <f t="shared" ref="I27:I90" si="3">G27/E27*100%</f>
        <v>0.1714285714</v>
      </c>
      <c r="J27" s="65" t="s">
        <v>19</v>
      </c>
      <c r="K27" s="65" t="s">
        <v>277</v>
      </c>
    </row>
    <row r="28" ht="22.5" customHeight="1">
      <c r="A28" s="55" t="s">
        <v>281</v>
      </c>
      <c r="B28" s="56">
        <v>46057.0</v>
      </c>
      <c r="C28" s="71"/>
      <c r="D28" s="59">
        <v>4.5E7</v>
      </c>
      <c r="E28" s="60">
        <v>5.0E7</v>
      </c>
      <c r="F28" s="15">
        <v>5.0E7</v>
      </c>
      <c r="G28" s="15">
        <f t="shared" si="1"/>
        <v>5000000</v>
      </c>
      <c r="H28" s="72" t="s">
        <v>38</v>
      </c>
      <c r="I28" s="64">
        <f t="shared" si="3"/>
        <v>0.1</v>
      </c>
      <c r="J28" s="65" t="s">
        <v>19</v>
      </c>
      <c r="K28" s="65" t="s">
        <v>90</v>
      </c>
    </row>
    <row r="29" ht="22.5" customHeight="1">
      <c r="A29" s="55" t="s">
        <v>286</v>
      </c>
      <c r="B29" s="56">
        <v>46057.0</v>
      </c>
      <c r="C29" s="57" t="s">
        <v>287</v>
      </c>
      <c r="D29" s="59">
        <v>2.5E7</v>
      </c>
      <c r="E29" s="60">
        <v>2.8E7</v>
      </c>
      <c r="F29" s="15">
        <v>2.5E7</v>
      </c>
      <c r="G29" s="15">
        <f t="shared" si="1"/>
        <v>0</v>
      </c>
      <c r="H29" s="62" t="s">
        <v>15</v>
      </c>
      <c r="I29" s="64">
        <f t="shared" si="3"/>
        <v>0</v>
      </c>
      <c r="J29" s="65" t="s">
        <v>19</v>
      </c>
      <c r="K29" s="65" t="s">
        <v>291</v>
      </c>
    </row>
    <row r="30" ht="22.5" customHeight="1">
      <c r="A30" s="55" t="s">
        <v>297</v>
      </c>
      <c r="B30" s="56">
        <v>46057.0</v>
      </c>
      <c r="C30" s="69">
        <v>46127.0</v>
      </c>
      <c r="D30" s="59">
        <v>3.4E7</v>
      </c>
      <c r="E30" s="60">
        <v>3.4E7</v>
      </c>
      <c r="F30" s="15">
        <v>3.4E7</v>
      </c>
      <c r="G30" s="15">
        <f t="shared" si="1"/>
        <v>0</v>
      </c>
      <c r="H30" s="62" t="s">
        <v>15</v>
      </c>
      <c r="I30" s="64">
        <f t="shared" si="3"/>
        <v>0</v>
      </c>
      <c r="J30" s="65" t="s">
        <v>19</v>
      </c>
      <c r="K30" s="65" t="s">
        <v>251</v>
      </c>
    </row>
    <row r="31" ht="22.5" customHeight="1">
      <c r="A31" s="55" t="s">
        <v>304</v>
      </c>
      <c r="B31" s="56">
        <v>46057.0</v>
      </c>
      <c r="C31" s="71"/>
      <c r="D31" s="59">
        <v>3.0E7</v>
      </c>
      <c r="E31" s="60">
        <v>5.0E7</v>
      </c>
      <c r="F31" s="15">
        <v>5.0E7</v>
      </c>
      <c r="G31" s="15">
        <f t="shared" si="1"/>
        <v>20000000</v>
      </c>
      <c r="H31" s="72" t="s">
        <v>38</v>
      </c>
      <c r="I31" s="64">
        <f t="shared" si="3"/>
        <v>0.4</v>
      </c>
      <c r="J31" s="65" t="s">
        <v>19</v>
      </c>
      <c r="K31" s="65" t="s">
        <v>90</v>
      </c>
    </row>
    <row r="32" ht="22.5" customHeight="1">
      <c r="A32" s="55" t="s">
        <v>311</v>
      </c>
      <c r="B32" s="56">
        <v>46057.0</v>
      </c>
      <c r="C32" s="69">
        <v>46139.0</v>
      </c>
      <c r="D32" s="59">
        <v>5.0E7</v>
      </c>
      <c r="E32" s="60">
        <v>5.0E7</v>
      </c>
      <c r="F32" s="15">
        <v>5.0E7</v>
      </c>
      <c r="G32" s="15">
        <f t="shared" si="1"/>
        <v>0</v>
      </c>
      <c r="H32" s="62" t="s">
        <v>15</v>
      </c>
      <c r="I32" s="64">
        <f t="shared" si="3"/>
        <v>0</v>
      </c>
      <c r="J32" s="65" t="s">
        <v>19</v>
      </c>
      <c r="K32" s="65" t="s">
        <v>317</v>
      </c>
    </row>
    <row r="33" ht="22.5" customHeight="1">
      <c r="A33" s="37" t="s">
        <v>324</v>
      </c>
      <c r="B33" s="40">
        <v>46057.0</v>
      </c>
      <c r="C33" s="42"/>
      <c r="D33" s="44">
        <v>3.75E7</v>
      </c>
      <c r="E33" s="45">
        <v>4.0E7</v>
      </c>
      <c r="F33" s="19">
        <v>4.0E7</v>
      </c>
      <c r="G33" s="15">
        <f t="shared" si="1"/>
        <v>2500000</v>
      </c>
      <c r="H33" s="72" t="s">
        <v>38</v>
      </c>
      <c r="I33" s="64">
        <f t="shared" si="3"/>
        <v>0.0625</v>
      </c>
      <c r="J33" s="65" t="s">
        <v>19</v>
      </c>
      <c r="K33" s="53" t="s">
        <v>329</v>
      </c>
    </row>
    <row r="34" ht="22.5" customHeight="1">
      <c r="A34" s="81" t="s">
        <v>332</v>
      </c>
      <c r="B34" s="82" t="s">
        <v>333</v>
      </c>
      <c r="C34" s="57" t="s">
        <v>335</v>
      </c>
      <c r="D34" s="59">
        <v>3.7E7</v>
      </c>
      <c r="E34" s="60">
        <v>5.0E7</v>
      </c>
      <c r="F34" s="15">
        <v>5.0E7</v>
      </c>
      <c r="G34" s="15">
        <f t="shared" si="1"/>
        <v>13000000</v>
      </c>
      <c r="H34" s="62" t="s">
        <v>15</v>
      </c>
      <c r="I34" s="64">
        <f t="shared" si="3"/>
        <v>0.26</v>
      </c>
      <c r="J34" s="65" t="s">
        <v>19</v>
      </c>
      <c r="K34" s="83"/>
    </row>
    <row r="35" ht="22.5" customHeight="1">
      <c r="A35" s="81" t="s">
        <v>339</v>
      </c>
      <c r="B35" s="84">
        <v>46117.0</v>
      </c>
      <c r="C35" s="69">
        <v>46287.0</v>
      </c>
      <c r="D35" s="76">
        <v>4.2E7</v>
      </c>
      <c r="E35" s="60">
        <v>4.8E7</v>
      </c>
      <c r="F35" s="15">
        <v>4.8E7</v>
      </c>
      <c r="G35" s="15">
        <f t="shared" si="1"/>
        <v>6000000</v>
      </c>
      <c r="H35" s="62" t="s">
        <v>15</v>
      </c>
      <c r="I35" s="64">
        <f t="shared" si="3"/>
        <v>0.125</v>
      </c>
      <c r="J35" s="65" t="s">
        <v>19</v>
      </c>
      <c r="K35" s="83"/>
    </row>
    <row r="36" ht="22.5" customHeight="1">
      <c r="A36" s="81" t="s">
        <v>347</v>
      </c>
      <c r="B36" s="84">
        <v>46117.0</v>
      </c>
      <c r="C36" s="71"/>
      <c r="D36" s="76">
        <v>2.5E7</v>
      </c>
      <c r="E36" s="60">
        <v>3.5E7</v>
      </c>
      <c r="F36" s="15">
        <v>3.5E7</v>
      </c>
      <c r="G36" s="15">
        <f t="shared" si="1"/>
        <v>10000000</v>
      </c>
      <c r="H36" s="72" t="s">
        <v>38</v>
      </c>
      <c r="I36" s="64">
        <f t="shared" si="3"/>
        <v>0.2857142857</v>
      </c>
      <c r="J36" s="65" t="s">
        <v>19</v>
      </c>
      <c r="K36" s="86"/>
    </row>
    <row r="37" ht="22.5" customHeight="1">
      <c r="A37" s="81" t="s">
        <v>355</v>
      </c>
      <c r="B37" s="84">
        <v>46117.0</v>
      </c>
      <c r="C37" s="57" t="s">
        <v>356</v>
      </c>
      <c r="D37" s="76">
        <v>2.6E7</v>
      </c>
      <c r="E37" s="60">
        <v>2.6E7</v>
      </c>
      <c r="F37" s="15">
        <v>2.6E7</v>
      </c>
      <c r="G37" s="15">
        <f t="shared" si="1"/>
        <v>0</v>
      </c>
      <c r="H37" s="62" t="s">
        <v>15</v>
      </c>
      <c r="I37" s="64">
        <f t="shared" si="3"/>
        <v>0</v>
      </c>
      <c r="J37" s="65" t="s">
        <v>19</v>
      </c>
      <c r="K37" s="86"/>
    </row>
    <row r="38" ht="22.5" customHeight="1">
      <c r="A38" s="81" t="s">
        <v>362</v>
      </c>
      <c r="B38" s="84">
        <v>46117.0</v>
      </c>
      <c r="C38" s="57" t="s">
        <v>364</v>
      </c>
      <c r="D38" s="76">
        <v>4.0E7</v>
      </c>
      <c r="E38" s="60">
        <v>4.0E7</v>
      </c>
      <c r="F38" s="15">
        <v>4.0E7</v>
      </c>
      <c r="G38" s="15">
        <f t="shared" si="1"/>
        <v>0</v>
      </c>
      <c r="H38" s="62" t="s">
        <v>15</v>
      </c>
      <c r="I38" s="64">
        <f t="shared" si="3"/>
        <v>0</v>
      </c>
      <c r="J38" s="65" t="s">
        <v>19</v>
      </c>
      <c r="K38" s="86"/>
    </row>
    <row r="39" ht="22.5" customHeight="1">
      <c r="A39" s="81" t="s">
        <v>369</v>
      </c>
      <c r="B39" s="84">
        <v>46117.0</v>
      </c>
      <c r="C39" s="57" t="s">
        <v>370</v>
      </c>
      <c r="D39" s="76">
        <v>3.8E7</v>
      </c>
      <c r="E39" s="60">
        <v>3.8E7</v>
      </c>
      <c r="F39" s="15">
        <v>3.8E7</v>
      </c>
      <c r="G39" s="15">
        <f t="shared" si="1"/>
        <v>0</v>
      </c>
      <c r="H39" s="62" t="s">
        <v>15</v>
      </c>
      <c r="I39" s="64">
        <f t="shared" si="3"/>
        <v>0</v>
      </c>
      <c r="J39" s="65" t="s">
        <v>19</v>
      </c>
      <c r="K39" s="86"/>
    </row>
    <row r="40" ht="22.5" customHeight="1">
      <c r="A40" s="81" t="s">
        <v>376</v>
      </c>
      <c r="B40" s="84">
        <v>46117.0</v>
      </c>
      <c r="C40" s="57" t="s">
        <v>210</v>
      </c>
      <c r="D40" s="76">
        <v>2.7E7</v>
      </c>
      <c r="E40" s="60">
        <v>2.7E7</v>
      </c>
      <c r="F40" s="15">
        <v>2.7E7</v>
      </c>
      <c r="G40" s="15">
        <f t="shared" si="1"/>
        <v>0</v>
      </c>
      <c r="H40" s="62" t="s">
        <v>15</v>
      </c>
      <c r="I40" s="64">
        <f t="shared" si="3"/>
        <v>0</v>
      </c>
      <c r="J40" s="65" t="s">
        <v>19</v>
      </c>
      <c r="K40" s="86"/>
    </row>
    <row r="41" ht="22.5" customHeight="1">
      <c r="A41" s="81" t="s">
        <v>385</v>
      </c>
      <c r="B41" s="84">
        <v>46117.0</v>
      </c>
      <c r="C41" s="71"/>
      <c r="D41" s="76">
        <v>1.5E7</v>
      </c>
      <c r="E41" s="60">
        <v>2.0E7</v>
      </c>
      <c r="F41" s="15">
        <v>2.0E7</v>
      </c>
      <c r="G41" s="15">
        <f t="shared" si="1"/>
        <v>5000000</v>
      </c>
      <c r="H41" s="72" t="s">
        <v>38</v>
      </c>
      <c r="I41" s="64">
        <f t="shared" si="3"/>
        <v>0.25</v>
      </c>
      <c r="J41" s="65" t="s">
        <v>19</v>
      </c>
      <c r="K41" s="86"/>
    </row>
    <row r="42" ht="22.5" customHeight="1">
      <c r="A42" s="81" t="s">
        <v>393</v>
      </c>
      <c r="B42" s="84">
        <v>46117.0</v>
      </c>
      <c r="C42" s="71"/>
      <c r="D42" s="76">
        <v>5.0E7</v>
      </c>
      <c r="E42" s="60">
        <v>5.5E7</v>
      </c>
      <c r="F42" s="15">
        <v>5.5E7</v>
      </c>
      <c r="G42" s="15">
        <f t="shared" si="1"/>
        <v>5000000</v>
      </c>
      <c r="H42" s="72" t="s">
        <v>38</v>
      </c>
      <c r="I42" s="64">
        <f t="shared" si="3"/>
        <v>0.09090909091</v>
      </c>
      <c r="J42" s="65" t="s">
        <v>19</v>
      </c>
      <c r="K42" s="86"/>
    </row>
    <row r="43" ht="22.5" customHeight="1">
      <c r="A43" s="81" t="s">
        <v>400</v>
      </c>
      <c r="B43" s="84">
        <v>46117.0</v>
      </c>
      <c r="C43" s="71"/>
      <c r="D43" s="76">
        <v>6.0E7</v>
      </c>
      <c r="E43" s="60">
        <v>6.5E7</v>
      </c>
      <c r="F43" s="15">
        <v>6.5E7</v>
      </c>
      <c r="G43" s="15">
        <f t="shared" si="1"/>
        <v>5000000</v>
      </c>
      <c r="H43" s="72" t="s">
        <v>38</v>
      </c>
      <c r="I43" s="64">
        <f t="shared" si="3"/>
        <v>0.07692307692</v>
      </c>
      <c r="J43" s="65" t="s">
        <v>19</v>
      </c>
      <c r="K43" s="86"/>
    </row>
    <row r="44" ht="22.5" customHeight="1">
      <c r="A44" s="81" t="s">
        <v>404</v>
      </c>
      <c r="B44" s="84">
        <v>46117.0</v>
      </c>
      <c r="C44" s="57" t="s">
        <v>405</v>
      </c>
      <c r="D44" s="76">
        <v>3.3E7</v>
      </c>
      <c r="E44" s="76">
        <v>3.3E7</v>
      </c>
      <c r="F44" s="93">
        <v>3.3E7</v>
      </c>
      <c r="G44" s="93">
        <f t="shared" si="1"/>
        <v>0</v>
      </c>
      <c r="H44" s="62" t="s">
        <v>15</v>
      </c>
      <c r="I44" s="64">
        <f t="shared" si="3"/>
        <v>0</v>
      </c>
      <c r="J44" s="65" t="s">
        <v>19</v>
      </c>
      <c r="K44" s="86"/>
    </row>
    <row r="45" ht="22.5" customHeight="1">
      <c r="A45" s="81" t="s">
        <v>410</v>
      </c>
      <c r="B45" s="84">
        <v>46117.0</v>
      </c>
      <c r="C45" s="71"/>
      <c r="D45" s="76">
        <v>2.3E7</v>
      </c>
      <c r="E45" s="76">
        <v>0.0</v>
      </c>
      <c r="F45" s="93">
        <v>0.0</v>
      </c>
      <c r="G45" s="93">
        <f t="shared" si="1"/>
        <v>-23000000</v>
      </c>
      <c r="H45" s="94" t="s">
        <v>24</v>
      </c>
      <c r="I45" s="64" t="str">
        <f t="shared" si="3"/>
        <v>#DIV/0!</v>
      </c>
      <c r="J45" s="65" t="s">
        <v>19</v>
      </c>
      <c r="K45" s="96" t="s">
        <v>416</v>
      </c>
    </row>
    <row r="46" ht="22.5" customHeight="1">
      <c r="A46" s="81" t="s">
        <v>417</v>
      </c>
      <c r="B46" s="84">
        <v>46117.0</v>
      </c>
      <c r="C46" s="71"/>
      <c r="D46" s="76">
        <v>2.2E7</v>
      </c>
      <c r="E46" s="76">
        <v>2.7E7</v>
      </c>
      <c r="F46" s="93">
        <v>2.7E7</v>
      </c>
      <c r="G46" s="93">
        <f t="shared" si="1"/>
        <v>5000000</v>
      </c>
      <c r="H46" s="62" t="s">
        <v>15</v>
      </c>
      <c r="I46" s="64">
        <f t="shared" si="3"/>
        <v>0.1851851852</v>
      </c>
      <c r="J46" s="65" t="s">
        <v>19</v>
      </c>
      <c r="K46" s="96" t="s">
        <v>422</v>
      </c>
    </row>
    <row r="47" ht="22.5" customHeight="1">
      <c r="A47" s="81" t="s">
        <v>423</v>
      </c>
      <c r="B47" s="98">
        <v>46178.0</v>
      </c>
      <c r="C47" s="71"/>
      <c r="D47" s="76">
        <v>1.9E7</v>
      </c>
      <c r="E47" s="76">
        <v>3.8E7</v>
      </c>
      <c r="F47" s="93">
        <v>3.6E7</v>
      </c>
      <c r="G47" s="93">
        <f t="shared" si="1"/>
        <v>17000000</v>
      </c>
      <c r="H47" s="72" t="s">
        <v>38</v>
      </c>
      <c r="I47" s="64">
        <f t="shared" si="3"/>
        <v>0.4473684211</v>
      </c>
      <c r="J47" s="65" t="s">
        <v>19</v>
      </c>
      <c r="K47" s="86"/>
    </row>
    <row r="48" ht="22.5" customHeight="1">
      <c r="A48" s="81" t="s">
        <v>431</v>
      </c>
      <c r="B48" s="98">
        <v>46178.0</v>
      </c>
      <c r="C48" s="71"/>
      <c r="D48" s="76">
        <v>5.0E7</v>
      </c>
      <c r="E48" s="76">
        <v>7.0E7</v>
      </c>
      <c r="F48" s="93">
        <v>7.0E7</v>
      </c>
      <c r="G48" s="93">
        <f t="shared" si="1"/>
        <v>20000000</v>
      </c>
      <c r="H48" s="72" t="s">
        <v>38</v>
      </c>
      <c r="I48" s="64">
        <f t="shared" si="3"/>
        <v>0.2857142857</v>
      </c>
      <c r="J48" s="65" t="s">
        <v>19</v>
      </c>
      <c r="K48" s="86"/>
    </row>
    <row r="49" ht="22.5" customHeight="1">
      <c r="A49" s="65" t="s">
        <v>442</v>
      </c>
      <c r="B49" s="98">
        <v>46178.0</v>
      </c>
      <c r="C49" s="57" t="s">
        <v>294</v>
      </c>
      <c r="D49" s="76">
        <v>1.8E7</v>
      </c>
      <c r="E49" s="76">
        <v>1.8E7</v>
      </c>
      <c r="F49" s="93">
        <v>1.8E7</v>
      </c>
      <c r="G49" s="93">
        <f t="shared" si="1"/>
        <v>0</v>
      </c>
      <c r="H49" s="62" t="s">
        <v>15</v>
      </c>
      <c r="I49" s="64">
        <f t="shared" si="3"/>
        <v>0</v>
      </c>
      <c r="J49" s="65" t="s">
        <v>19</v>
      </c>
      <c r="K49" s="86"/>
    </row>
    <row r="50" ht="22.5" customHeight="1">
      <c r="A50" s="96" t="s">
        <v>452</v>
      </c>
      <c r="B50" s="98">
        <v>46178.0</v>
      </c>
      <c r="C50" s="71"/>
      <c r="D50" s="76">
        <v>3.3E7</v>
      </c>
      <c r="E50" s="76">
        <v>3.3E7</v>
      </c>
      <c r="F50" s="93">
        <v>3.3E7</v>
      </c>
      <c r="G50" s="93">
        <f t="shared" si="1"/>
        <v>0</v>
      </c>
      <c r="H50" s="72" t="s">
        <v>38</v>
      </c>
      <c r="I50" s="64">
        <f t="shared" si="3"/>
        <v>0</v>
      </c>
      <c r="J50" s="65"/>
      <c r="K50" s="96" t="s">
        <v>455</v>
      </c>
    </row>
    <row r="51" ht="22.5" customHeight="1">
      <c r="A51" s="96" t="s">
        <v>458</v>
      </c>
      <c r="B51" s="98">
        <v>46301.0</v>
      </c>
      <c r="C51" s="57" t="s">
        <v>192</v>
      </c>
      <c r="D51" s="76">
        <v>2.6666666E7</v>
      </c>
      <c r="E51" s="76">
        <v>3.0E7</v>
      </c>
      <c r="F51" s="93">
        <v>3.0E7</v>
      </c>
      <c r="G51" s="93">
        <f t="shared" si="1"/>
        <v>3333334</v>
      </c>
      <c r="H51" s="62" t="s">
        <v>15</v>
      </c>
      <c r="I51" s="64">
        <f t="shared" si="3"/>
        <v>0.1111111333</v>
      </c>
      <c r="J51" s="65"/>
      <c r="K51" s="86"/>
    </row>
    <row r="52" ht="22.5" customHeight="1">
      <c r="A52" s="96" t="s">
        <v>462</v>
      </c>
      <c r="B52" s="98">
        <v>46301.0</v>
      </c>
      <c r="C52" s="57" t="s">
        <v>465</v>
      </c>
      <c r="D52" s="76">
        <v>3.7E7</v>
      </c>
      <c r="E52" s="76">
        <v>5.2E7</v>
      </c>
      <c r="F52" s="93">
        <v>5.2E7</v>
      </c>
      <c r="G52" s="93">
        <f t="shared" si="1"/>
        <v>15000000</v>
      </c>
      <c r="H52" s="62" t="s">
        <v>15</v>
      </c>
      <c r="I52" s="64">
        <f t="shared" si="3"/>
        <v>0.2884615385</v>
      </c>
      <c r="J52" s="65"/>
      <c r="K52" s="86"/>
    </row>
    <row r="53" ht="22.5" customHeight="1">
      <c r="A53" s="96" t="s">
        <v>471</v>
      </c>
      <c r="B53" s="98">
        <v>46332.0</v>
      </c>
      <c r="C53" s="71"/>
      <c r="D53" s="76">
        <v>2.5E7</v>
      </c>
      <c r="E53" s="76">
        <v>2.5E7</v>
      </c>
      <c r="F53" s="93">
        <v>2.5E7</v>
      </c>
      <c r="G53" s="93">
        <f t="shared" si="1"/>
        <v>0</v>
      </c>
      <c r="H53" s="72" t="s">
        <v>38</v>
      </c>
      <c r="I53" s="64">
        <f t="shared" si="3"/>
        <v>0</v>
      </c>
      <c r="J53" s="65"/>
      <c r="K53" s="96" t="s">
        <v>475</v>
      </c>
    </row>
    <row r="54" ht="22.5" customHeight="1">
      <c r="A54" s="96" t="s">
        <v>476</v>
      </c>
      <c r="B54" s="98">
        <v>46332.0</v>
      </c>
      <c r="C54" s="69">
        <v>46281.0</v>
      </c>
      <c r="D54" s="76">
        <v>4.2E7</v>
      </c>
      <c r="E54" s="76">
        <v>4.5E7</v>
      </c>
      <c r="F54" s="93">
        <v>4.5E7</v>
      </c>
      <c r="G54" s="93">
        <f t="shared" si="1"/>
        <v>3000000</v>
      </c>
      <c r="H54" s="62" t="s">
        <v>15</v>
      </c>
      <c r="I54" s="64">
        <f t="shared" si="3"/>
        <v>0.06666666667</v>
      </c>
      <c r="J54" s="65"/>
      <c r="K54" s="86"/>
    </row>
    <row r="55" ht="22.5" customHeight="1">
      <c r="A55" s="96" t="s">
        <v>480</v>
      </c>
      <c r="B55" s="98">
        <v>46332.0</v>
      </c>
      <c r="C55" s="57" t="s">
        <v>482</v>
      </c>
      <c r="D55" s="76">
        <v>5.5E7</v>
      </c>
      <c r="E55" s="76">
        <v>5.5E7</v>
      </c>
      <c r="F55" s="93">
        <v>5.5E7</v>
      </c>
      <c r="G55" s="93">
        <f t="shared" si="1"/>
        <v>0</v>
      </c>
      <c r="H55" s="62" t="s">
        <v>15</v>
      </c>
      <c r="I55" s="64">
        <f t="shared" si="3"/>
        <v>0</v>
      </c>
      <c r="J55" s="65"/>
      <c r="K55" s="96" t="s">
        <v>484</v>
      </c>
    </row>
    <row r="56" ht="22.5" customHeight="1">
      <c r="A56" s="96" t="s">
        <v>485</v>
      </c>
      <c r="B56" s="98">
        <v>46332.0</v>
      </c>
      <c r="C56" s="71"/>
      <c r="D56" s="76">
        <v>4.5E7</v>
      </c>
      <c r="E56" s="76">
        <v>5.5E7</v>
      </c>
      <c r="F56" s="93">
        <v>5.5E7</v>
      </c>
      <c r="G56" s="93">
        <f t="shared" si="1"/>
        <v>10000000</v>
      </c>
      <c r="H56" s="72" t="s">
        <v>38</v>
      </c>
      <c r="I56" s="64">
        <f t="shared" si="3"/>
        <v>0.1818181818</v>
      </c>
      <c r="J56" s="65"/>
      <c r="K56" s="86"/>
    </row>
    <row r="57" ht="22.5" customHeight="1">
      <c r="A57" s="96" t="s">
        <v>488</v>
      </c>
      <c r="B57" s="98">
        <v>46332.0</v>
      </c>
      <c r="C57" s="71"/>
      <c r="D57" s="76">
        <v>3.0E7</v>
      </c>
      <c r="E57" s="76"/>
      <c r="F57" s="93"/>
      <c r="G57" s="93">
        <f t="shared" si="1"/>
        <v>-30000000</v>
      </c>
      <c r="H57" s="103" t="s">
        <v>24</v>
      </c>
      <c r="I57" s="64" t="str">
        <f t="shared" si="3"/>
        <v>#DIV/0!</v>
      </c>
      <c r="J57" s="65"/>
      <c r="K57" s="96" t="s">
        <v>491</v>
      </c>
    </row>
    <row r="58" ht="22.5" customHeight="1">
      <c r="A58" s="96" t="s">
        <v>493</v>
      </c>
      <c r="B58" s="98">
        <v>46332.0</v>
      </c>
      <c r="C58" s="57" t="s">
        <v>494</v>
      </c>
      <c r="D58" s="76">
        <v>2.5E7</v>
      </c>
      <c r="E58" s="76">
        <v>2.5E7</v>
      </c>
      <c r="F58" s="93">
        <v>2.5E7</v>
      </c>
      <c r="G58" s="93">
        <f t="shared" si="1"/>
        <v>0</v>
      </c>
      <c r="H58" s="62" t="s">
        <v>15</v>
      </c>
      <c r="I58" s="64">
        <f t="shared" si="3"/>
        <v>0</v>
      </c>
      <c r="J58" s="65"/>
      <c r="K58" s="96" t="s">
        <v>498</v>
      </c>
    </row>
    <row r="59" ht="22.5" customHeight="1">
      <c r="A59" s="96" t="s">
        <v>501</v>
      </c>
      <c r="B59" s="98">
        <v>46332.0</v>
      </c>
      <c r="C59" s="57" t="s">
        <v>200</v>
      </c>
      <c r="D59" s="76">
        <v>5.0E7</v>
      </c>
      <c r="E59" s="76">
        <v>5.0E7</v>
      </c>
      <c r="F59" s="93">
        <v>5.0E7</v>
      </c>
      <c r="G59" s="93">
        <f t="shared" si="1"/>
        <v>0</v>
      </c>
      <c r="H59" s="62" t="s">
        <v>15</v>
      </c>
      <c r="I59" s="64">
        <f t="shared" si="3"/>
        <v>0</v>
      </c>
      <c r="J59" s="65"/>
      <c r="K59" s="86"/>
    </row>
    <row r="60" ht="22.5" customHeight="1">
      <c r="A60" s="96" t="s">
        <v>505</v>
      </c>
      <c r="B60" s="104" t="s">
        <v>506</v>
      </c>
      <c r="C60" s="57" t="s">
        <v>482</v>
      </c>
      <c r="D60" s="76">
        <v>2.5E7</v>
      </c>
      <c r="E60" s="76">
        <v>2.6E7</v>
      </c>
      <c r="F60" s="93">
        <v>2.6E7</v>
      </c>
      <c r="G60" s="93">
        <f t="shared" si="1"/>
        <v>1000000</v>
      </c>
      <c r="H60" s="62" t="s">
        <v>15</v>
      </c>
      <c r="I60" s="64">
        <f t="shared" si="3"/>
        <v>0.03846153846</v>
      </c>
      <c r="J60" s="65"/>
      <c r="K60" s="96" t="s">
        <v>512</v>
      </c>
    </row>
    <row r="61" ht="22.5" customHeight="1">
      <c r="A61" s="96" t="s">
        <v>513</v>
      </c>
      <c r="B61" s="104" t="s">
        <v>506</v>
      </c>
      <c r="C61" s="57" t="s">
        <v>73</v>
      </c>
      <c r="D61" s="76">
        <v>2.5E7</v>
      </c>
      <c r="E61" s="76">
        <v>2.5E7</v>
      </c>
      <c r="F61" s="93">
        <v>2.5E7</v>
      </c>
      <c r="G61" s="93">
        <f t="shared" si="1"/>
        <v>0</v>
      </c>
      <c r="H61" s="62" t="s">
        <v>15</v>
      </c>
      <c r="I61" s="64">
        <f t="shared" si="3"/>
        <v>0</v>
      </c>
      <c r="J61" s="65"/>
      <c r="K61" s="96" t="s">
        <v>516</v>
      </c>
    </row>
    <row r="62" ht="22.5" customHeight="1">
      <c r="A62" s="96" t="s">
        <v>517</v>
      </c>
      <c r="B62" s="104" t="s">
        <v>506</v>
      </c>
      <c r="C62" s="57" t="s">
        <v>494</v>
      </c>
      <c r="D62" s="76">
        <v>3.4E7</v>
      </c>
      <c r="E62" s="76">
        <v>3.4E7</v>
      </c>
      <c r="F62" s="93">
        <v>3.4E7</v>
      </c>
      <c r="G62" s="93">
        <f t="shared" si="1"/>
        <v>0</v>
      </c>
      <c r="H62" s="62" t="s">
        <v>15</v>
      </c>
      <c r="I62" s="64">
        <f t="shared" si="3"/>
        <v>0</v>
      </c>
      <c r="J62" s="65"/>
      <c r="K62" s="86"/>
    </row>
    <row r="63" ht="22.5" customHeight="1">
      <c r="A63" s="96" t="s">
        <v>523</v>
      </c>
      <c r="B63" s="104" t="s">
        <v>506</v>
      </c>
      <c r="C63" s="71"/>
      <c r="D63" s="76">
        <v>3.8E7</v>
      </c>
      <c r="E63" s="76">
        <v>5.0E7</v>
      </c>
      <c r="F63" s="93">
        <v>5.0E7</v>
      </c>
      <c r="G63" s="93">
        <f t="shared" si="1"/>
        <v>12000000</v>
      </c>
      <c r="H63" s="72" t="s">
        <v>38</v>
      </c>
      <c r="I63" s="64">
        <f t="shared" si="3"/>
        <v>0.24</v>
      </c>
      <c r="J63" s="65"/>
      <c r="K63" s="96" t="s">
        <v>529</v>
      </c>
    </row>
    <row r="64" ht="22.5" customHeight="1">
      <c r="A64" s="96" t="s">
        <v>532</v>
      </c>
      <c r="B64" s="104" t="s">
        <v>534</v>
      </c>
      <c r="C64" s="57" t="s">
        <v>535</v>
      </c>
      <c r="D64" s="76">
        <v>1.95E7</v>
      </c>
      <c r="E64" s="76">
        <v>1.95E7</v>
      </c>
      <c r="F64" s="93">
        <v>1.95E7</v>
      </c>
      <c r="G64" s="93">
        <f t="shared" si="1"/>
        <v>0</v>
      </c>
      <c r="H64" s="62" t="s">
        <v>15</v>
      </c>
      <c r="I64" s="64">
        <f t="shared" si="3"/>
        <v>0</v>
      </c>
      <c r="J64" s="65"/>
      <c r="K64" s="86"/>
    </row>
    <row r="65" ht="22.5" customHeight="1">
      <c r="A65" s="96" t="s">
        <v>540</v>
      </c>
      <c r="B65" s="104" t="s">
        <v>534</v>
      </c>
      <c r="C65" s="57" t="s">
        <v>535</v>
      </c>
      <c r="D65" s="76">
        <v>3.2E7</v>
      </c>
      <c r="E65" s="76">
        <v>3.2E7</v>
      </c>
      <c r="F65" s="93">
        <v>3.2E7</v>
      </c>
      <c r="G65" s="93">
        <f t="shared" si="1"/>
        <v>0</v>
      </c>
      <c r="H65" s="109" t="s">
        <v>15</v>
      </c>
      <c r="I65" s="64">
        <f t="shared" si="3"/>
        <v>0</v>
      </c>
      <c r="J65" s="65"/>
      <c r="K65" s="86"/>
    </row>
    <row r="66" ht="22.5" customHeight="1">
      <c r="A66" s="96" t="s">
        <v>544</v>
      </c>
      <c r="B66" s="98">
        <v>46302.0</v>
      </c>
      <c r="C66" s="57" t="s">
        <v>200</v>
      </c>
      <c r="D66" s="76">
        <v>6.0E7</v>
      </c>
      <c r="E66" s="76">
        <v>2.5E7</v>
      </c>
      <c r="F66" s="93">
        <v>2.5E7</v>
      </c>
      <c r="G66" s="93">
        <f t="shared" si="1"/>
        <v>-35000000</v>
      </c>
      <c r="H66" s="110" t="s">
        <v>15</v>
      </c>
      <c r="I66" s="64">
        <f t="shared" si="3"/>
        <v>-1.4</v>
      </c>
      <c r="J66" s="96"/>
      <c r="K66" s="96" t="s">
        <v>548</v>
      </c>
    </row>
    <row r="67" ht="22.5" customHeight="1">
      <c r="A67" s="96" t="s">
        <v>550</v>
      </c>
      <c r="B67" s="98">
        <v>46333.0</v>
      </c>
      <c r="C67" s="57" t="s">
        <v>147</v>
      </c>
      <c r="D67" s="76">
        <v>2.95E7</v>
      </c>
      <c r="E67" s="76">
        <v>2.95E7</v>
      </c>
      <c r="F67" s="93">
        <v>2.95E7</v>
      </c>
      <c r="G67" s="93">
        <f t="shared" si="1"/>
        <v>0</v>
      </c>
      <c r="H67" s="110" t="s">
        <v>15</v>
      </c>
      <c r="I67" s="64">
        <f t="shared" si="3"/>
        <v>0</v>
      </c>
      <c r="J67" s="96"/>
      <c r="K67" s="96" t="s">
        <v>556</v>
      </c>
    </row>
    <row r="68" ht="22.5" customHeight="1">
      <c r="A68" s="96" t="s">
        <v>558</v>
      </c>
      <c r="B68" s="98">
        <v>46333.0</v>
      </c>
      <c r="C68" s="71"/>
      <c r="D68" s="76">
        <v>2.4E7</v>
      </c>
      <c r="E68" s="76">
        <v>2.6E7</v>
      </c>
      <c r="F68" s="93">
        <v>2.6E7</v>
      </c>
      <c r="G68" s="93">
        <f t="shared" si="1"/>
        <v>2000000</v>
      </c>
      <c r="H68" s="111" t="s">
        <v>38</v>
      </c>
      <c r="I68" s="64">
        <f t="shared" si="3"/>
        <v>0.07692307692</v>
      </c>
      <c r="J68" s="96"/>
      <c r="K68" s="96" t="s">
        <v>556</v>
      </c>
    </row>
    <row r="69" ht="22.5" customHeight="1">
      <c r="A69" s="96" t="s">
        <v>563</v>
      </c>
      <c r="B69" s="98">
        <v>46333.0</v>
      </c>
      <c r="C69" s="71"/>
      <c r="D69" s="76">
        <v>3.0E7</v>
      </c>
      <c r="E69" s="76">
        <v>3.5E7</v>
      </c>
      <c r="F69" s="93">
        <v>3.5E7</v>
      </c>
      <c r="G69" s="93">
        <f t="shared" si="1"/>
        <v>5000000</v>
      </c>
      <c r="H69" s="111" t="s">
        <v>38</v>
      </c>
      <c r="I69" s="64">
        <f t="shared" si="3"/>
        <v>0.1428571429</v>
      </c>
      <c r="J69" s="96"/>
      <c r="K69" s="96" t="s">
        <v>566</v>
      </c>
    </row>
    <row r="70" ht="22.5" customHeight="1">
      <c r="A70" s="96" t="s">
        <v>568</v>
      </c>
      <c r="B70" s="98">
        <v>46333.0</v>
      </c>
      <c r="C70" s="57" t="s">
        <v>235</v>
      </c>
      <c r="D70" s="76">
        <v>1.8E7</v>
      </c>
      <c r="E70" s="76">
        <v>1.8E7</v>
      </c>
      <c r="F70" s="93">
        <v>1.8E7</v>
      </c>
      <c r="G70" s="93">
        <f t="shared" si="1"/>
        <v>0</v>
      </c>
      <c r="H70" s="109" t="s">
        <v>15</v>
      </c>
      <c r="I70" s="64">
        <f t="shared" si="3"/>
        <v>0</v>
      </c>
      <c r="J70" s="96"/>
      <c r="K70" s="96" t="s">
        <v>572</v>
      </c>
    </row>
    <row r="71" ht="22.5" customHeight="1">
      <c r="A71" s="96" t="s">
        <v>574</v>
      </c>
      <c r="B71" s="104" t="s">
        <v>575</v>
      </c>
      <c r="C71" s="57" t="s">
        <v>576</v>
      </c>
      <c r="D71" s="76">
        <v>3.85E7</v>
      </c>
      <c r="E71" s="76">
        <v>3.5E7</v>
      </c>
      <c r="F71" s="93">
        <v>3.5E7</v>
      </c>
      <c r="G71" s="93">
        <f t="shared" si="1"/>
        <v>-3500000</v>
      </c>
      <c r="H71" s="110" t="s">
        <v>15</v>
      </c>
      <c r="I71" s="64">
        <f t="shared" si="3"/>
        <v>-0.1</v>
      </c>
      <c r="J71" s="96"/>
      <c r="K71" s="96" t="s">
        <v>580</v>
      </c>
    </row>
    <row r="72" ht="22.5" customHeight="1">
      <c r="A72" s="96" t="s">
        <v>584</v>
      </c>
      <c r="B72" s="104" t="s">
        <v>575</v>
      </c>
      <c r="C72" s="71"/>
      <c r="D72" s="76">
        <v>2.0E7</v>
      </c>
      <c r="E72" s="76">
        <v>2.4E7</v>
      </c>
      <c r="F72" s="93">
        <v>2.4E7</v>
      </c>
      <c r="G72" s="93">
        <f t="shared" si="1"/>
        <v>4000000</v>
      </c>
      <c r="H72" s="111" t="s">
        <v>38</v>
      </c>
      <c r="I72" s="64">
        <f t="shared" si="3"/>
        <v>0.1666666667</v>
      </c>
      <c r="J72" s="96"/>
      <c r="K72" s="96" t="s">
        <v>556</v>
      </c>
    </row>
    <row r="73" ht="22.5" customHeight="1">
      <c r="A73" s="96" t="s">
        <v>591</v>
      </c>
      <c r="B73" s="104" t="s">
        <v>575</v>
      </c>
      <c r="C73" s="71"/>
      <c r="D73" s="76">
        <v>2.0E7</v>
      </c>
      <c r="E73" s="76">
        <v>2.2E7</v>
      </c>
      <c r="F73" s="93">
        <v>2.2E7</v>
      </c>
      <c r="G73" s="93">
        <f t="shared" si="1"/>
        <v>2000000</v>
      </c>
      <c r="H73" s="111" t="s">
        <v>38</v>
      </c>
      <c r="I73" s="64">
        <f t="shared" si="3"/>
        <v>0.09090909091</v>
      </c>
      <c r="J73" s="96"/>
      <c r="K73" s="96" t="s">
        <v>556</v>
      </c>
    </row>
    <row r="74" ht="22.5" customHeight="1">
      <c r="A74" s="96" t="s">
        <v>596</v>
      </c>
      <c r="B74" s="98">
        <v>46364.0</v>
      </c>
      <c r="C74" s="71"/>
      <c r="D74" s="76">
        <v>3.8E7</v>
      </c>
      <c r="E74" s="76">
        <v>4.3E7</v>
      </c>
      <c r="F74" s="93">
        <v>4.3E7</v>
      </c>
      <c r="G74" s="93">
        <f t="shared" si="1"/>
        <v>5000000</v>
      </c>
      <c r="H74" s="111" t="s">
        <v>38</v>
      </c>
      <c r="I74" s="64">
        <f t="shared" si="3"/>
        <v>0.1162790698</v>
      </c>
      <c r="J74" s="96"/>
      <c r="K74" s="96" t="s">
        <v>600</v>
      </c>
    </row>
    <row r="75" ht="22.5" customHeight="1">
      <c r="A75" s="96" t="s">
        <v>603</v>
      </c>
      <c r="B75" s="98">
        <v>46364.0</v>
      </c>
      <c r="C75" s="71"/>
      <c r="D75" s="76">
        <v>1.5E7</v>
      </c>
      <c r="E75" s="76">
        <v>2.0E7</v>
      </c>
      <c r="F75" s="93">
        <v>2.0E7</v>
      </c>
      <c r="G75" s="93">
        <f t="shared" si="1"/>
        <v>5000000</v>
      </c>
      <c r="H75" s="111" t="s">
        <v>38</v>
      </c>
      <c r="I75" s="64">
        <f t="shared" si="3"/>
        <v>0.25</v>
      </c>
      <c r="J75" s="96"/>
      <c r="K75" s="96" t="s">
        <v>556</v>
      </c>
    </row>
    <row r="76" ht="22.5" customHeight="1">
      <c r="A76" s="96" t="s">
        <v>607</v>
      </c>
      <c r="B76" s="98">
        <v>46364.0</v>
      </c>
      <c r="C76" s="71"/>
      <c r="D76" s="76">
        <v>3.5E7</v>
      </c>
      <c r="E76" s="76">
        <v>4.0E7</v>
      </c>
      <c r="F76" s="93">
        <v>4.0E7</v>
      </c>
      <c r="G76" s="93">
        <f t="shared" si="1"/>
        <v>5000000</v>
      </c>
      <c r="H76" s="111" t="s">
        <v>38</v>
      </c>
      <c r="I76" s="64">
        <f t="shared" si="3"/>
        <v>0.125</v>
      </c>
      <c r="J76" s="96"/>
      <c r="K76" s="96" t="s">
        <v>600</v>
      </c>
    </row>
    <row r="77" ht="22.5" customHeight="1">
      <c r="A77" s="96" t="s">
        <v>614</v>
      </c>
      <c r="B77" s="98">
        <v>46364.0</v>
      </c>
      <c r="C77" s="57" t="s">
        <v>615</v>
      </c>
      <c r="D77" s="76">
        <v>6.5E7</v>
      </c>
      <c r="E77" s="76">
        <v>6.5E7</v>
      </c>
      <c r="F77" s="93">
        <v>6.5E7</v>
      </c>
      <c r="G77" s="93">
        <f t="shared" si="1"/>
        <v>0</v>
      </c>
      <c r="H77" s="110" t="s">
        <v>15</v>
      </c>
      <c r="I77" s="64">
        <f t="shared" si="3"/>
        <v>0</v>
      </c>
      <c r="J77" s="96"/>
      <c r="K77" s="96" t="s">
        <v>556</v>
      </c>
    </row>
    <row r="78" ht="22.5" customHeight="1">
      <c r="A78" s="96" t="s">
        <v>618</v>
      </c>
      <c r="B78" s="98">
        <v>46364.0</v>
      </c>
      <c r="C78" s="57" t="s">
        <v>126</v>
      </c>
      <c r="D78" s="76">
        <v>3.0E7</v>
      </c>
      <c r="E78" s="76">
        <v>3.0E7</v>
      </c>
      <c r="F78" s="93">
        <v>3.0E7</v>
      </c>
      <c r="G78" s="93">
        <f t="shared" si="1"/>
        <v>0</v>
      </c>
      <c r="H78" s="110" t="s">
        <v>15</v>
      </c>
      <c r="I78" s="64">
        <f t="shared" si="3"/>
        <v>0</v>
      </c>
      <c r="J78" s="96"/>
      <c r="K78" s="96" t="s">
        <v>600</v>
      </c>
    </row>
    <row r="79" ht="22.5" customHeight="1">
      <c r="A79" s="96" t="s">
        <v>623</v>
      </c>
      <c r="B79" s="98">
        <v>46364.0</v>
      </c>
      <c r="C79" s="57" t="s">
        <v>628</v>
      </c>
      <c r="D79" s="76">
        <v>2.2E7</v>
      </c>
      <c r="E79" s="76">
        <v>2.2E7</v>
      </c>
      <c r="F79" s="93">
        <v>2.2E7</v>
      </c>
      <c r="G79" s="93">
        <f t="shared" si="1"/>
        <v>0</v>
      </c>
      <c r="H79" s="110" t="s">
        <v>15</v>
      </c>
      <c r="I79" s="64">
        <f t="shared" si="3"/>
        <v>0</v>
      </c>
      <c r="J79" s="96"/>
      <c r="K79" s="96" t="s">
        <v>630</v>
      </c>
    </row>
    <row r="80" ht="22.5" customHeight="1">
      <c r="A80" s="96" t="s">
        <v>632</v>
      </c>
      <c r="B80" s="98">
        <v>46364.0</v>
      </c>
      <c r="C80" s="71"/>
      <c r="D80" s="76">
        <v>1.4E7</v>
      </c>
      <c r="E80" s="76">
        <v>1.6E7</v>
      </c>
      <c r="F80" s="93">
        <v>1.6E7</v>
      </c>
      <c r="G80" s="93">
        <f t="shared" si="1"/>
        <v>2000000</v>
      </c>
      <c r="H80" s="111" t="s">
        <v>38</v>
      </c>
      <c r="I80" s="64">
        <f t="shared" si="3"/>
        <v>0.125</v>
      </c>
      <c r="J80" s="96"/>
      <c r="K80" s="96" t="s">
        <v>636</v>
      </c>
    </row>
    <row r="81" ht="22.5" customHeight="1">
      <c r="A81" s="96" t="s">
        <v>639</v>
      </c>
      <c r="B81" s="98">
        <v>46364.0</v>
      </c>
      <c r="C81" s="71"/>
      <c r="D81" s="76">
        <v>4.5E7</v>
      </c>
      <c r="E81" s="76">
        <v>5.5E7</v>
      </c>
      <c r="F81" s="93">
        <v>5.5E7</v>
      </c>
      <c r="G81" s="93">
        <f t="shared" si="1"/>
        <v>10000000</v>
      </c>
      <c r="H81" s="111" t="s">
        <v>38</v>
      </c>
      <c r="I81" s="64">
        <f t="shared" si="3"/>
        <v>0.1818181818</v>
      </c>
      <c r="J81" s="96"/>
      <c r="K81" s="86"/>
    </row>
    <row r="82" ht="22.5" customHeight="1">
      <c r="A82" s="96" t="s">
        <v>644</v>
      </c>
      <c r="B82" s="98">
        <v>46364.0</v>
      </c>
      <c r="C82" s="71"/>
      <c r="D82" s="76">
        <v>1.8E7</v>
      </c>
      <c r="E82" s="76">
        <v>3.6E7</v>
      </c>
      <c r="F82" s="93">
        <v>3.6E7</v>
      </c>
      <c r="G82" s="93">
        <f t="shared" si="1"/>
        <v>18000000</v>
      </c>
      <c r="H82" s="121" t="s">
        <v>24</v>
      </c>
      <c r="I82" s="64">
        <f t="shared" si="3"/>
        <v>0.5</v>
      </c>
      <c r="J82" s="96"/>
      <c r="K82" s="96" t="s">
        <v>647</v>
      </c>
    </row>
    <row r="83" ht="22.5" customHeight="1">
      <c r="A83" s="96" t="s">
        <v>650</v>
      </c>
      <c r="B83" s="98">
        <v>46364.0</v>
      </c>
      <c r="C83" s="71"/>
      <c r="D83" s="76">
        <v>5.0E7</v>
      </c>
      <c r="E83" s="76"/>
      <c r="F83" s="93"/>
      <c r="G83" s="93">
        <f t="shared" si="1"/>
        <v>-50000000</v>
      </c>
      <c r="H83" s="121" t="s">
        <v>24</v>
      </c>
      <c r="I83" s="64" t="str">
        <f t="shared" si="3"/>
        <v>#DIV/0!</v>
      </c>
      <c r="J83" s="96"/>
      <c r="K83" s="96" t="s">
        <v>654</v>
      </c>
    </row>
    <row r="84" ht="22.5" customHeight="1">
      <c r="A84" s="96" t="s">
        <v>656</v>
      </c>
      <c r="B84" s="98">
        <v>46364.0</v>
      </c>
      <c r="C84" s="57" t="s">
        <v>660</v>
      </c>
      <c r="D84" s="76">
        <v>3.0E7</v>
      </c>
      <c r="E84" s="76">
        <v>3.0E7</v>
      </c>
      <c r="F84" s="93">
        <v>3.0E7</v>
      </c>
      <c r="G84" s="93">
        <f t="shared" si="1"/>
        <v>0</v>
      </c>
      <c r="H84" s="110" t="s">
        <v>15</v>
      </c>
      <c r="I84" s="64">
        <f t="shared" si="3"/>
        <v>0</v>
      </c>
      <c r="J84" s="96"/>
      <c r="K84" s="96" t="s">
        <v>600</v>
      </c>
    </row>
    <row r="85" ht="22.5" customHeight="1">
      <c r="A85" s="96" t="s">
        <v>666</v>
      </c>
      <c r="B85" s="104" t="s">
        <v>667</v>
      </c>
      <c r="C85" s="57" t="s">
        <v>576</v>
      </c>
      <c r="D85" s="76">
        <v>3.5E7</v>
      </c>
      <c r="E85" s="76">
        <v>3.5E7</v>
      </c>
      <c r="F85" s="93">
        <v>3.0E7</v>
      </c>
      <c r="G85" s="93">
        <f t="shared" si="1"/>
        <v>-5000000</v>
      </c>
      <c r="H85" s="110" t="s">
        <v>15</v>
      </c>
      <c r="I85" s="64">
        <f t="shared" si="3"/>
        <v>-0.1428571429</v>
      </c>
      <c r="J85" s="96"/>
      <c r="K85" s="96" t="s">
        <v>669</v>
      </c>
    </row>
    <row r="86" ht="22.5" customHeight="1">
      <c r="A86" s="96" t="s">
        <v>672</v>
      </c>
      <c r="B86" s="104" t="s">
        <v>674</v>
      </c>
      <c r="C86" s="67">
        <v>46268.0</v>
      </c>
      <c r="D86" s="76">
        <v>3.0E7</v>
      </c>
      <c r="E86" s="76">
        <v>2.6E7</v>
      </c>
      <c r="F86" s="93">
        <v>2.6E7</v>
      </c>
      <c r="G86" s="93">
        <f t="shared" si="1"/>
        <v>-4000000</v>
      </c>
      <c r="H86" s="110" t="s">
        <v>15</v>
      </c>
      <c r="I86" s="64">
        <f t="shared" si="3"/>
        <v>-0.1538461538</v>
      </c>
      <c r="J86" s="96"/>
      <c r="K86" s="96" t="s">
        <v>679</v>
      </c>
    </row>
    <row r="87" ht="22.5" customHeight="1">
      <c r="A87" s="96" t="s">
        <v>680</v>
      </c>
      <c r="B87" s="98">
        <v>46062.0</v>
      </c>
      <c r="C87" s="67">
        <v>46272.0</v>
      </c>
      <c r="D87" s="76">
        <v>5.3333333E7</v>
      </c>
      <c r="E87" s="76">
        <v>5.0E7</v>
      </c>
      <c r="F87" s="93">
        <v>4.7E7</v>
      </c>
      <c r="G87" s="93">
        <f t="shared" si="1"/>
        <v>-6333333</v>
      </c>
      <c r="H87" s="110" t="s">
        <v>15</v>
      </c>
      <c r="I87" s="64">
        <f t="shared" si="3"/>
        <v>-0.12666666</v>
      </c>
      <c r="J87" s="96"/>
      <c r="K87" s="96" t="s">
        <v>669</v>
      </c>
    </row>
    <row r="88" ht="22.5" customHeight="1">
      <c r="A88" s="96" t="s">
        <v>689</v>
      </c>
      <c r="B88" s="98">
        <v>46304.0</v>
      </c>
      <c r="C88" s="71"/>
      <c r="D88" s="76">
        <v>7.0E7</v>
      </c>
      <c r="E88" s="76">
        <v>7.0E7</v>
      </c>
      <c r="F88" s="93">
        <v>7.0E7</v>
      </c>
      <c r="G88" s="93">
        <f t="shared" si="1"/>
        <v>0</v>
      </c>
      <c r="H88" s="110" t="s">
        <v>15</v>
      </c>
      <c r="I88" s="64">
        <f t="shared" si="3"/>
        <v>0</v>
      </c>
      <c r="J88" s="96"/>
      <c r="K88" s="96" t="s">
        <v>694</v>
      </c>
    </row>
    <row r="89" ht="22.5" customHeight="1">
      <c r="A89" s="96" t="s">
        <v>697</v>
      </c>
      <c r="B89" s="98">
        <v>46304.0</v>
      </c>
      <c r="C89" s="71"/>
      <c r="D89" s="76">
        <v>4.0E7</v>
      </c>
      <c r="E89" s="76">
        <v>4.5E7</v>
      </c>
      <c r="F89" s="93">
        <v>4.5E7</v>
      </c>
      <c r="G89" s="93">
        <f t="shared" si="1"/>
        <v>5000000</v>
      </c>
      <c r="H89" s="111" t="s">
        <v>38</v>
      </c>
      <c r="I89" s="64">
        <f t="shared" si="3"/>
        <v>0.1111111111</v>
      </c>
      <c r="J89" s="96"/>
      <c r="K89" s="96" t="s">
        <v>600</v>
      </c>
    </row>
    <row r="90" ht="22.5" customHeight="1">
      <c r="A90" s="96" t="s">
        <v>703</v>
      </c>
      <c r="B90" s="98">
        <v>46304.0</v>
      </c>
      <c r="C90" s="71"/>
      <c r="D90" s="76">
        <v>2.0E7</v>
      </c>
      <c r="E90" s="76">
        <v>2.5E7</v>
      </c>
      <c r="F90" s="93">
        <v>2.5E7</v>
      </c>
      <c r="G90" s="93">
        <f t="shared" si="1"/>
        <v>5000000</v>
      </c>
      <c r="H90" s="111" t="s">
        <v>38</v>
      </c>
      <c r="I90" s="64">
        <f t="shared" si="3"/>
        <v>0.2</v>
      </c>
      <c r="J90" s="96"/>
      <c r="K90" s="96" t="s">
        <v>600</v>
      </c>
    </row>
    <row r="91" ht="22.5" customHeight="1">
      <c r="A91" s="96" t="s">
        <v>710</v>
      </c>
      <c r="B91" s="98">
        <v>46304.0</v>
      </c>
      <c r="C91" s="71"/>
      <c r="D91" s="76">
        <v>5.0E7</v>
      </c>
      <c r="E91" s="76">
        <v>6.0E7</v>
      </c>
      <c r="F91" s="93">
        <v>6.0E7</v>
      </c>
      <c r="G91" s="93">
        <f t="shared" si="1"/>
        <v>10000000</v>
      </c>
      <c r="H91" s="111" t="s">
        <v>38</v>
      </c>
      <c r="I91" s="86"/>
      <c r="J91" s="96"/>
      <c r="K91" s="96" t="s">
        <v>600</v>
      </c>
    </row>
    <row r="92" ht="22.5" customHeight="1">
      <c r="A92" s="96" t="s">
        <v>716</v>
      </c>
      <c r="B92" s="98">
        <v>46304.0</v>
      </c>
      <c r="C92" s="71"/>
      <c r="D92" s="76">
        <v>2.4E7</v>
      </c>
      <c r="E92" s="76">
        <v>2.6E7</v>
      </c>
      <c r="F92" s="93">
        <v>2.6E7</v>
      </c>
      <c r="G92" s="93">
        <f t="shared" si="1"/>
        <v>2000000</v>
      </c>
      <c r="H92" s="111" t="s">
        <v>38</v>
      </c>
      <c r="I92" s="86"/>
      <c r="J92" s="96"/>
      <c r="K92" s="96" t="s">
        <v>600</v>
      </c>
    </row>
    <row r="93" ht="22.5" customHeight="1">
      <c r="A93" s="96" t="s">
        <v>723</v>
      </c>
      <c r="B93" s="104" t="s">
        <v>724</v>
      </c>
      <c r="C93" s="71"/>
      <c r="D93" s="76">
        <v>1.2E7</v>
      </c>
      <c r="E93" s="76">
        <v>1.3E7</v>
      </c>
      <c r="F93" s="93">
        <v>1.3E7</v>
      </c>
      <c r="G93" s="93">
        <f t="shared" si="1"/>
        <v>1000000</v>
      </c>
      <c r="H93" s="111" t="s">
        <v>38</v>
      </c>
      <c r="I93" s="86"/>
      <c r="J93" s="96"/>
      <c r="K93" s="96" t="s">
        <v>735</v>
      </c>
    </row>
    <row r="94" ht="22.5" customHeight="1">
      <c r="A94" s="96" t="s">
        <v>738</v>
      </c>
      <c r="B94" s="104" t="s">
        <v>724</v>
      </c>
      <c r="C94" s="71"/>
      <c r="D94" s="76">
        <v>3.0E7</v>
      </c>
      <c r="E94" s="76">
        <v>3.0E7</v>
      </c>
      <c r="F94" s="93">
        <v>3.0E7</v>
      </c>
      <c r="G94" s="93">
        <f t="shared" si="1"/>
        <v>0</v>
      </c>
      <c r="H94" s="110" t="s">
        <v>15</v>
      </c>
      <c r="I94" s="86"/>
      <c r="J94" s="96"/>
      <c r="K94" s="96" t="s">
        <v>741</v>
      </c>
    </row>
    <row r="95" ht="22.5" customHeight="1">
      <c r="A95" s="96" t="s">
        <v>743</v>
      </c>
      <c r="B95" s="104" t="s">
        <v>674</v>
      </c>
      <c r="C95" s="134">
        <v>46286.0</v>
      </c>
      <c r="D95" s="76">
        <v>4.0E7</v>
      </c>
      <c r="E95" s="76">
        <v>4.0E7</v>
      </c>
      <c r="F95" s="93">
        <v>4.0E7</v>
      </c>
      <c r="G95" s="93">
        <f t="shared" si="1"/>
        <v>0</v>
      </c>
      <c r="H95" s="110" t="s">
        <v>15</v>
      </c>
      <c r="I95" s="86"/>
      <c r="J95" s="96"/>
      <c r="K95" s="96" t="s">
        <v>669</v>
      </c>
    </row>
    <row r="96" ht="22.5" customHeight="1">
      <c r="A96" s="96" t="s">
        <v>749</v>
      </c>
      <c r="B96" s="104" t="s">
        <v>674</v>
      </c>
      <c r="C96" s="71"/>
      <c r="D96" s="76">
        <v>3.3E7</v>
      </c>
      <c r="E96" s="76">
        <v>3.3E7</v>
      </c>
      <c r="F96" s="93">
        <v>3.3E7</v>
      </c>
      <c r="G96" s="93">
        <f t="shared" si="1"/>
        <v>0</v>
      </c>
      <c r="H96" s="110" t="s">
        <v>15</v>
      </c>
      <c r="I96" s="86"/>
      <c r="J96" s="96"/>
      <c r="K96" s="96" t="s">
        <v>669</v>
      </c>
    </row>
    <row r="97" ht="22.5" customHeight="1">
      <c r="A97" s="96" t="s">
        <v>605</v>
      </c>
      <c r="B97" s="104" t="s">
        <v>752</v>
      </c>
      <c r="C97" s="71"/>
      <c r="D97" s="76">
        <v>2.1E7</v>
      </c>
      <c r="E97" s="76">
        <v>2.2E7</v>
      </c>
      <c r="F97" s="93">
        <v>2.2E7</v>
      </c>
      <c r="G97" s="93">
        <f t="shared" si="1"/>
        <v>1000000</v>
      </c>
      <c r="H97" s="135" t="s">
        <v>38</v>
      </c>
      <c r="I97" s="86"/>
      <c r="J97" s="96"/>
      <c r="K97" s="96" t="s">
        <v>600</v>
      </c>
    </row>
    <row r="98" ht="22.5" customHeight="1">
      <c r="A98" s="96" t="s">
        <v>758</v>
      </c>
      <c r="B98" s="104" t="s">
        <v>752</v>
      </c>
      <c r="C98" s="71"/>
      <c r="D98" s="76">
        <v>2.7E7</v>
      </c>
      <c r="E98" s="76">
        <v>2.8E7</v>
      </c>
      <c r="F98" s="93">
        <v>2.8E7</v>
      </c>
      <c r="G98" s="93">
        <f t="shared" si="1"/>
        <v>1000000</v>
      </c>
      <c r="H98" s="135" t="s">
        <v>38</v>
      </c>
      <c r="I98" s="86"/>
      <c r="J98" s="96"/>
      <c r="K98" s="96" t="s">
        <v>600</v>
      </c>
    </row>
    <row r="99" ht="22.5" customHeight="1">
      <c r="A99" s="96" t="s">
        <v>762</v>
      </c>
      <c r="B99" s="104" t="s">
        <v>752</v>
      </c>
      <c r="C99" s="71"/>
      <c r="D99" s="76">
        <v>3.5E7</v>
      </c>
      <c r="E99" s="76"/>
      <c r="F99" s="93"/>
      <c r="G99" s="93">
        <f t="shared" si="1"/>
        <v>-35000000</v>
      </c>
      <c r="H99" s="135" t="s">
        <v>24</v>
      </c>
      <c r="I99" s="86"/>
      <c r="J99" s="96"/>
      <c r="K99" s="96" t="s">
        <v>766</v>
      </c>
    </row>
    <row r="100" ht="22.5" customHeight="1">
      <c r="A100" s="96"/>
      <c r="B100" s="104"/>
      <c r="C100" s="71"/>
      <c r="D100" s="59"/>
      <c r="E100" s="76"/>
      <c r="F100" s="93"/>
      <c r="G100" s="93">
        <f t="shared" si="1"/>
        <v>0</v>
      </c>
      <c r="H100" s="135"/>
      <c r="I100" s="86"/>
      <c r="J100" s="96"/>
      <c r="K100" s="86"/>
    </row>
    <row r="101" ht="22.5" customHeight="1">
      <c r="A101" s="96"/>
      <c r="B101" s="104"/>
      <c r="C101" s="71"/>
      <c r="D101" s="59"/>
      <c r="E101" s="76"/>
      <c r="F101" s="93"/>
      <c r="G101" s="93">
        <f t="shared" si="1"/>
        <v>0</v>
      </c>
      <c r="H101" s="135"/>
      <c r="I101" s="86"/>
      <c r="J101" s="96"/>
      <c r="K101" s="86"/>
    </row>
    <row r="102" ht="22.5" customHeight="1">
      <c r="A102" s="96"/>
      <c r="B102" s="104"/>
      <c r="C102" s="71"/>
      <c r="D102" s="59"/>
      <c r="E102" s="76"/>
      <c r="F102" s="93"/>
      <c r="G102" s="93">
        <f t="shared" si="1"/>
        <v>0</v>
      </c>
      <c r="H102" s="135"/>
      <c r="I102" s="86"/>
      <c r="J102" s="96"/>
      <c r="K102" s="86"/>
    </row>
    <row r="103" ht="22.5" customHeight="1">
      <c r="A103" s="96"/>
      <c r="B103" s="104"/>
      <c r="C103" s="71"/>
      <c r="D103" s="59"/>
      <c r="E103" s="76"/>
      <c r="F103" s="93"/>
      <c r="G103" s="93">
        <f t="shared" si="1"/>
        <v>0</v>
      </c>
      <c r="H103" s="135"/>
      <c r="I103" s="86"/>
      <c r="J103" s="96"/>
      <c r="K103" s="86"/>
    </row>
    <row r="104" ht="22.5" customHeight="1">
      <c r="A104" s="96"/>
      <c r="B104" s="104"/>
      <c r="C104" s="71"/>
      <c r="D104" s="59"/>
      <c r="E104" s="76"/>
      <c r="F104" s="93"/>
      <c r="G104" s="93">
        <f t="shared" si="1"/>
        <v>0</v>
      </c>
      <c r="H104" s="135"/>
      <c r="I104" s="86"/>
      <c r="J104" s="96"/>
      <c r="K104" s="86"/>
    </row>
    <row r="105" ht="22.5" customHeight="1">
      <c r="A105" s="96"/>
      <c r="B105" s="104"/>
      <c r="C105" s="71"/>
      <c r="D105" s="59"/>
      <c r="E105" s="76"/>
      <c r="F105" s="93"/>
      <c r="G105" s="93">
        <f t="shared" si="1"/>
        <v>0</v>
      </c>
      <c r="H105" s="135"/>
      <c r="I105" s="86"/>
      <c r="J105" s="96"/>
      <c r="K105" s="86"/>
    </row>
    <row r="106" ht="22.5" customHeight="1">
      <c r="A106" s="96"/>
      <c r="B106" s="104"/>
      <c r="C106" s="71"/>
      <c r="D106" s="59"/>
      <c r="E106" s="76"/>
      <c r="F106" s="93"/>
      <c r="G106" s="93">
        <f t="shared" si="1"/>
        <v>0</v>
      </c>
      <c r="H106" s="135"/>
      <c r="I106" s="86"/>
      <c r="J106" s="96"/>
      <c r="K106" s="86"/>
    </row>
    <row r="107" ht="22.5" customHeight="1">
      <c r="A107" s="96"/>
      <c r="B107" s="104"/>
      <c r="C107" s="71"/>
      <c r="D107" s="59"/>
      <c r="E107" s="76"/>
      <c r="F107" s="93"/>
      <c r="G107" s="93">
        <f t="shared" si="1"/>
        <v>0</v>
      </c>
      <c r="H107" s="135"/>
      <c r="I107" s="86"/>
      <c r="J107" s="96"/>
      <c r="K107" s="86"/>
    </row>
    <row r="108" ht="22.5" customHeight="1">
      <c r="A108" s="96"/>
      <c r="B108" s="104"/>
      <c r="C108" s="71"/>
      <c r="D108" s="59"/>
      <c r="E108" s="76"/>
      <c r="F108" s="93"/>
      <c r="G108" s="93">
        <f t="shared" si="1"/>
        <v>0</v>
      </c>
      <c r="H108" s="135"/>
      <c r="I108" s="86"/>
      <c r="J108" s="96"/>
      <c r="K108" s="86"/>
    </row>
    <row r="109" ht="22.5" customHeight="1">
      <c r="A109" s="96"/>
      <c r="B109" s="104"/>
      <c r="C109" s="71"/>
      <c r="D109" s="59"/>
      <c r="E109" s="76"/>
      <c r="F109" s="93"/>
      <c r="G109" s="93">
        <f t="shared" si="1"/>
        <v>0</v>
      </c>
      <c r="H109" s="135"/>
      <c r="I109" s="86"/>
      <c r="J109" s="96"/>
      <c r="K109" s="86"/>
    </row>
    <row r="110" ht="22.5" customHeight="1">
      <c r="A110" s="96"/>
      <c r="B110" s="104"/>
      <c r="C110" s="71"/>
      <c r="D110" s="59"/>
      <c r="E110" s="76"/>
      <c r="F110" s="93"/>
      <c r="G110" s="93">
        <f t="shared" si="1"/>
        <v>0</v>
      </c>
      <c r="H110" s="135"/>
      <c r="I110" s="86"/>
      <c r="J110" s="96"/>
      <c r="K110" s="86"/>
    </row>
    <row r="111" ht="22.5" customHeight="1">
      <c r="A111" s="96"/>
      <c r="B111" s="104"/>
      <c r="C111" s="71"/>
      <c r="D111" s="59"/>
      <c r="E111" s="76"/>
      <c r="F111" s="93"/>
      <c r="G111" s="93">
        <f t="shared" si="1"/>
        <v>0</v>
      </c>
      <c r="H111" s="135"/>
      <c r="I111" s="86"/>
      <c r="J111" s="96"/>
      <c r="K111" s="86"/>
    </row>
    <row r="112" ht="22.5" customHeight="1">
      <c r="A112" s="96"/>
      <c r="B112" s="104"/>
      <c r="C112" s="71"/>
      <c r="D112" s="59"/>
      <c r="E112" s="76"/>
      <c r="F112" s="93"/>
      <c r="G112" s="93">
        <f t="shared" si="1"/>
        <v>0</v>
      </c>
      <c r="H112" s="135"/>
      <c r="I112" s="86"/>
      <c r="J112" s="96"/>
      <c r="K112" s="86"/>
    </row>
    <row r="113" ht="22.5" customHeight="1">
      <c r="A113" s="96"/>
      <c r="B113" s="104"/>
      <c r="C113" s="71"/>
      <c r="D113" s="59"/>
      <c r="E113" s="76"/>
      <c r="F113" s="93"/>
      <c r="G113" s="93">
        <f t="shared" si="1"/>
        <v>0</v>
      </c>
      <c r="H113" s="135"/>
      <c r="I113" s="86"/>
      <c r="J113" s="96"/>
      <c r="K113" s="86"/>
    </row>
    <row r="114" ht="22.5" customHeight="1">
      <c r="A114" s="96"/>
      <c r="B114" s="104"/>
      <c r="C114" s="71"/>
      <c r="D114" s="59"/>
      <c r="E114" s="76"/>
      <c r="F114" s="93"/>
      <c r="G114" s="93">
        <f t="shared" si="1"/>
        <v>0</v>
      </c>
      <c r="H114" s="135"/>
      <c r="I114" s="86"/>
      <c r="J114" s="96"/>
      <c r="K114" s="86"/>
    </row>
    <row r="115" ht="22.5" customHeight="1">
      <c r="A115" s="96"/>
      <c r="B115" s="104"/>
      <c r="C115" s="71"/>
      <c r="D115" s="59"/>
      <c r="E115" s="76"/>
      <c r="F115" s="93"/>
      <c r="G115" s="93">
        <f t="shared" si="1"/>
        <v>0</v>
      </c>
      <c r="H115" s="135"/>
      <c r="I115" s="86"/>
      <c r="J115" s="96"/>
      <c r="K115" s="86"/>
    </row>
    <row r="116" ht="22.5" customHeight="1">
      <c r="A116" s="96"/>
      <c r="B116" s="104"/>
      <c r="C116" s="71"/>
      <c r="D116" s="59"/>
      <c r="E116" s="76"/>
      <c r="F116" s="93"/>
      <c r="G116" s="93">
        <f t="shared" si="1"/>
        <v>0</v>
      </c>
      <c r="H116" s="135"/>
      <c r="I116" s="86"/>
      <c r="J116" s="96"/>
      <c r="K116" s="86"/>
    </row>
    <row r="117" ht="22.5" customHeight="1">
      <c r="A117" s="96"/>
      <c r="B117" s="104"/>
      <c r="C117" s="71"/>
      <c r="D117" s="59"/>
      <c r="E117" s="76"/>
      <c r="F117" s="93"/>
      <c r="G117" s="93">
        <f t="shared" si="1"/>
        <v>0</v>
      </c>
      <c r="H117" s="135"/>
      <c r="I117" s="86"/>
      <c r="J117" s="96"/>
      <c r="K117" s="86"/>
    </row>
    <row r="118" ht="22.5" customHeight="1">
      <c r="A118" s="96"/>
      <c r="B118" s="104"/>
      <c r="C118" s="71"/>
      <c r="D118" s="59"/>
      <c r="E118" s="76"/>
      <c r="F118" s="93"/>
      <c r="G118" s="93">
        <f t="shared" si="1"/>
        <v>0</v>
      </c>
      <c r="H118" s="135"/>
      <c r="I118" s="86"/>
      <c r="J118" s="96"/>
      <c r="K118" s="86"/>
    </row>
    <row r="119" ht="22.5" customHeight="1">
      <c r="A119" s="96"/>
      <c r="B119" s="104"/>
      <c r="C119" s="71"/>
      <c r="D119" s="59"/>
      <c r="E119" s="76"/>
      <c r="F119" s="93"/>
      <c r="G119" s="93">
        <f t="shared" si="1"/>
        <v>0</v>
      </c>
      <c r="H119" s="135"/>
      <c r="I119" s="86"/>
      <c r="J119" s="96"/>
      <c r="K119" s="86"/>
    </row>
    <row r="120" ht="22.5" customHeight="1">
      <c r="A120" s="96"/>
      <c r="B120" s="104"/>
      <c r="C120" s="71"/>
      <c r="D120" s="59"/>
      <c r="E120" s="76"/>
      <c r="F120" s="93"/>
      <c r="G120" s="93">
        <f t="shared" si="1"/>
        <v>0</v>
      </c>
      <c r="H120" s="135"/>
      <c r="I120" s="86"/>
      <c r="J120" s="96"/>
      <c r="K120" s="86"/>
    </row>
    <row r="121" ht="22.5" customHeight="1">
      <c r="A121" s="96"/>
      <c r="B121" s="104"/>
      <c r="C121" s="71"/>
      <c r="D121" s="59"/>
      <c r="E121" s="76"/>
      <c r="F121" s="93"/>
      <c r="G121" s="93">
        <f t="shared" si="1"/>
        <v>0</v>
      </c>
      <c r="H121" s="135"/>
      <c r="I121" s="86"/>
      <c r="J121" s="96"/>
      <c r="K121" s="86"/>
    </row>
    <row r="122" ht="22.5" customHeight="1">
      <c r="A122" s="96"/>
      <c r="B122" s="104"/>
      <c r="C122" s="71"/>
      <c r="D122" s="59"/>
      <c r="E122" s="76"/>
      <c r="F122" s="93"/>
      <c r="G122" s="93">
        <f t="shared" si="1"/>
        <v>0</v>
      </c>
      <c r="H122" s="135"/>
      <c r="I122" s="86"/>
      <c r="J122" s="96"/>
      <c r="K122" s="86"/>
    </row>
    <row r="123" ht="22.5" customHeight="1">
      <c r="A123" s="96"/>
      <c r="B123" s="104"/>
      <c r="C123" s="71"/>
      <c r="D123" s="59"/>
      <c r="E123" s="76"/>
      <c r="F123" s="93"/>
      <c r="G123" s="93">
        <f t="shared" si="1"/>
        <v>0</v>
      </c>
      <c r="H123" s="135"/>
      <c r="I123" s="86"/>
      <c r="J123" s="96"/>
      <c r="K123" s="86"/>
    </row>
    <row r="124" ht="22.5" customHeight="1">
      <c r="A124" s="96"/>
      <c r="B124" s="104"/>
      <c r="C124" s="71"/>
      <c r="D124" s="59"/>
      <c r="E124" s="76"/>
      <c r="F124" s="93"/>
      <c r="G124" s="93">
        <f t="shared" si="1"/>
        <v>0</v>
      </c>
      <c r="H124" s="135"/>
      <c r="I124" s="86"/>
      <c r="J124" s="96"/>
      <c r="K124" s="86"/>
    </row>
    <row r="125" ht="22.5" customHeight="1">
      <c r="A125" s="96"/>
      <c r="B125" s="104"/>
      <c r="C125" s="71"/>
      <c r="D125" s="59"/>
      <c r="E125" s="76"/>
      <c r="F125" s="93"/>
      <c r="G125" s="93">
        <f t="shared" si="1"/>
        <v>0</v>
      </c>
      <c r="H125" s="135"/>
      <c r="I125" s="86"/>
      <c r="J125" s="96"/>
      <c r="K125" s="86"/>
    </row>
    <row r="126" ht="22.5" customHeight="1">
      <c r="A126" s="96"/>
      <c r="B126" s="104"/>
      <c r="C126" s="71"/>
      <c r="D126" s="59"/>
      <c r="E126" s="76"/>
      <c r="F126" s="93"/>
      <c r="G126" s="93">
        <f t="shared" si="1"/>
        <v>0</v>
      </c>
      <c r="H126" s="135"/>
      <c r="I126" s="86"/>
      <c r="J126" s="96"/>
      <c r="K126" s="86"/>
    </row>
    <row r="127" ht="22.5" customHeight="1">
      <c r="A127" s="96"/>
      <c r="B127" s="104"/>
      <c r="C127" s="71"/>
      <c r="D127" s="59"/>
      <c r="E127" s="76"/>
      <c r="F127" s="93"/>
      <c r="G127" s="93">
        <f t="shared" si="1"/>
        <v>0</v>
      </c>
      <c r="H127" s="135"/>
      <c r="I127" s="86"/>
      <c r="J127" s="96"/>
      <c r="K127" s="86"/>
    </row>
    <row r="128" ht="22.5" customHeight="1">
      <c r="A128" s="96"/>
      <c r="B128" s="104"/>
      <c r="C128" s="71"/>
      <c r="D128" s="59"/>
      <c r="E128" s="76"/>
      <c r="F128" s="93"/>
      <c r="G128" s="93">
        <f t="shared" si="1"/>
        <v>0</v>
      </c>
      <c r="H128" s="135"/>
      <c r="I128" s="86"/>
      <c r="J128" s="96"/>
      <c r="K128" s="86"/>
    </row>
    <row r="129" ht="22.5" customHeight="1">
      <c r="A129" s="96"/>
      <c r="B129" s="104"/>
      <c r="C129" s="71"/>
      <c r="D129" s="59"/>
      <c r="E129" s="76"/>
      <c r="F129" s="93"/>
      <c r="G129" s="93">
        <f t="shared" si="1"/>
        <v>0</v>
      </c>
      <c r="H129" s="135"/>
      <c r="I129" s="86"/>
      <c r="J129" s="96"/>
      <c r="K129" s="86"/>
    </row>
    <row r="130" ht="22.5" customHeight="1">
      <c r="A130" s="96"/>
      <c r="B130" s="104"/>
      <c r="C130" s="71"/>
      <c r="D130" s="59"/>
      <c r="E130" s="76"/>
      <c r="F130" s="93"/>
      <c r="G130" s="93">
        <f t="shared" si="1"/>
        <v>0</v>
      </c>
      <c r="H130" s="135"/>
      <c r="I130" s="86"/>
      <c r="J130" s="96"/>
      <c r="K130" s="86"/>
    </row>
    <row r="131" ht="22.5" customHeight="1">
      <c r="A131" s="96"/>
      <c r="B131" s="104"/>
      <c r="C131" s="71"/>
      <c r="D131" s="59"/>
      <c r="E131" s="76"/>
      <c r="F131" s="93"/>
      <c r="G131" s="93">
        <f t="shared" si="1"/>
        <v>0</v>
      </c>
      <c r="H131" s="135"/>
      <c r="I131" s="86"/>
      <c r="J131" s="96"/>
      <c r="K131" s="86"/>
    </row>
    <row r="132" ht="22.5" customHeight="1">
      <c r="A132" s="96"/>
      <c r="B132" s="104"/>
      <c r="C132" s="71"/>
      <c r="D132" s="59"/>
      <c r="E132" s="76"/>
      <c r="F132" s="93"/>
      <c r="G132" s="93">
        <f t="shared" si="1"/>
        <v>0</v>
      </c>
      <c r="H132" s="135"/>
      <c r="I132" s="86"/>
      <c r="J132" s="96"/>
      <c r="K132" s="86"/>
    </row>
    <row r="133" ht="22.5" customHeight="1">
      <c r="A133" s="96"/>
      <c r="B133" s="104"/>
      <c r="C133" s="71"/>
      <c r="D133" s="59"/>
      <c r="E133" s="76"/>
      <c r="F133" s="93"/>
      <c r="G133" s="93">
        <f t="shared" si="1"/>
        <v>0</v>
      </c>
      <c r="H133" s="135"/>
      <c r="I133" s="86"/>
      <c r="J133" s="96"/>
      <c r="K133" s="86"/>
    </row>
    <row r="134" ht="22.5" customHeight="1">
      <c r="A134" s="96"/>
      <c r="B134" s="104"/>
      <c r="C134" s="71"/>
      <c r="D134" s="59"/>
      <c r="E134" s="76"/>
      <c r="F134" s="93"/>
      <c r="G134" s="93">
        <f t="shared" si="1"/>
        <v>0</v>
      </c>
      <c r="H134" s="135"/>
      <c r="I134" s="86"/>
      <c r="J134" s="96"/>
      <c r="K134" s="86"/>
    </row>
    <row r="135" ht="22.5" customHeight="1">
      <c r="A135" s="96"/>
      <c r="B135" s="104"/>
      <c r="C135" s="71"/>
      <c r="D135" s="59"/>
      <c r="E135" s="76"/>
      <c r="F135" s="93"/>
      <c r="G135" s="93">
        <f t="shared" si="1"/>
        <v>0</v>
      </c>
      <c r="H135" s="135"/>
      <c r="I135" s="86"/>
      <c r="J135" s="96"/>
      <c r="K135" s="86"/>
    </row>
    <row r="136" ht="22.5" customHeight="1">
      <c r="A136" s="96"/>
      <c r="B136" s="104"/>
      <c r="C136" s="71"/>
      <c r="D136" s="59"/>
      <c r="E136" s="76"/>
      <c r="F136" s="93"/>
      <c r="G136" s="93">
        <f t="shared" si="1"/>
        <v>0</v>
      </c>
      <c r="H136" s="135"/>
      <c r="I136" s="86"/>
      <c r="J136" s="96"/>
      <c r="K136" s="86"/>
    </row>
    <row r="137" ht="22.5" customHeight="1">
      <c r="A137" s="96"/>
      <c r="B137" s="104"/>
      <c r="C137" s="71"/>
      <c r="D137" s="59"/>
      <c r="E137" s="76"/>
      <c r="F137" s="93"/>
      <c r="G137" s="93">
        <f t="shared" si="1"/>
        <v>0</v>
      </c>
      <c r="H137" s="135"/>
      <c r="I137" s="86"/>
      <c r="J137" s="96"/>
      <c r="K137" s="86"/>
    </row>
    <row r="138" ht="22.5" customHeight="1">
      <c r="A138" s="96"/>
      <c r="B138" s="104"/>
      <c r="C138" s="71"/>
      <c r="D138" s="59"/>
      <c r="E138" s="76"/>
      <c r="F138" s="93"/>
      <c r="G138" s="93">
        <f t="shared" si="1"/>
        <v>0</v>
      </c>
      <c r="H138" s="135"/>
      <c r="I138" s="86"/>
      <c r="J138" s="96"/>
      <c r="K138" s="86"/>
    </row>
    <row r="139" ht="22.5" customHeight="1">
      <c r="A139" s="96"/>
      <c r="B139" s="104"/>
      <c r="C139" s="71"/>
      <c r="D139" s="59"/>
      <c r="E139" s="76"/>
      <c r="F139" s="93"/>
      <c r="G139" s="93">
        <f t="shared" si="1"/>
        <v>0</v>
      </c>
      <c r="H139" s="135"/>
      <c r="I139" s="86"/>
      <c r="J139" s="96"/>
      <c r="K139" s="86"/>
    </row>
    <row r="140" ht="22.5" customHeight="1">
      <c r="A140" s="96"/>
      <c r="B140" s="104"/>
      <c r="C140" s="71"/>
      <c r="D140" s="59"/>
      <c r="E140" s="76"/>
      <c r="F140" s="93"/>
      <c r="G140" s="93">
        <f t="shared" si="1"/>
        <v>0</v>
      </c>
      <c r="H140" s="135"/>
      <c r="I140" s="86"/>
      <c r="J140" s="96"/>
      <c r="K140" s="86"/>
    </row>
    <row r="141" ht="22.5" customHeight="1">
      <c r="A141" s="96"/>
      <c r="B141" s="104"/>
      <c r="C141" s="71"/>
      <c r="D141" s="59"/>
      <c r="E141" s="76"/>
      <c r="F141" s="93"/>
      <c r="G141" s="93">
        <f t="shared" si="1"/>
        <v>0</v>
      </c>
      <c r="H141" s="135"/>
      <c r="I141" s="86"/>
      <c r="J141" s="96"/>
      <c r="K141" s="86"/>
    </row>
    <row r="142" ht="22.5" customHeight="1">
      <c r="A142" s="96"/>
      <c r="B142" s="104"/>
      <c r="C142" s="71"/>
      <c r="D142" s="59"/>
      <c r="E142" s="76"/>
      <c r="F142" s="93"/>
      <c r="G142" s="93">
        <f t="shared" si="1"/>
        <v>0</v>
      </c>
      <c r="H142" s="135"/>
      <c r="I142" s="86"/>
      <c r="J142" s="96"/>
      <c r="K142" s="86"/>
    </row>
    <row r="143" ht="22.5" customHeight="1">
      <c r="A143" s="96"/>
      <c r="B143" s="104"/>
      <c r="C143" s="71"/>
      <c r="D143" s="59"/>
      <c r="E143" s="76"/>
      <c r="F143" s="93"/>
      <c r="G143" s="93">
        <f t="shared" si="1"/>
        <v>0</v>
      </c>
      <c r="H143" s="135"/>
      <c r="I143" s="86"/>
      <c r="J143" s="96"/>
      <c r="K143" s="86"/>
    </row>
    <row r="144" ht="22.5" customHeight="1">
      <c r="A144" s="96"/>
      <c r="B144" s="104"/>
      <c r="C144" s="71"/>
      <c r="D144" s="59"/>
      <c r="E144" s="76"/>
      <c r="F144" s="93"/>
      <c r="G144" s="93">
        <f t="shared" si="1"/>
        <v>0</v>
      </c>
      <c r="H144" s="135"/>
      <c r="I144" s="86"/>
      <c r="J144" s="96"/>
      <c r="K144" s="86"/>
    </row>
    <row r="145" ht="22.5" customHeight="1">
      <c r="A145" s="96"/>
      <c r="B145" s="104"/>
      <c r="C145" s="71"/>
      <c r="D145" s="59"/>
      <c r="E145" s="76"/>
      <c r="F145" s="93"/>
      <c r="G145" s="93">
        <f t="shared" si="1"/>
        <v>0</v>
      </c>
      <c r="H145" s="135"/>
      <c r="I145" s="86"/>
      <c r="J145" s="96"/>
      <c r="K145" s="86"/>
    </row>
    <row r="146" ht="22.5" customHeight="1">
      <c r="A146" s="96"/>
      <c r="B146" s="104"/>
      <c r="C146" s="71"/>
      <c r="D146" s="59"/>
      <c r="E146" s="76"/>
      <c r="F146" s="93"/>
      <c r="G146" s="93">
        <f t="shared" si="1"/>
        <v>0</v>
      </c>
      <c r="H146" s="135"/>
      <c r="I146" s="86"/>
      <c r="J146" s="96"/>
      <c r="K146" s="86"/>
    </row>
    <row r="147" ht="22.5" customHeight="1">
      <c r="A147" s="96"/>
      <c r="B147" s="104"/>
      <c r="C147" s="71"/>
      <c r="D147" s="59"/>
      <c r="E147" s="76"/>
      <c r="F147" s="93"/>
      <c r="G147" s="93">
        <f t="shared" si="1"/>
        <v>0</v>
      </c>
      <c r="H147" s="135"/>
      <c r="I147" s="86"/>
      <c r="J147" s="96"/>
      <c r="K147" s="86"/>
    </row>
    <row r="148" ht="22.5" customHeight="1">
      <c r="A148" s="96"/>
      <c r="B148" s="104"/>
      <c r="C148" s="71"/>
      <c r="D148" s="59"/>
      <c r="E148" s="76"/>
      <c r="F148" s="93"/>
      <c r="G148" s="93">
        <f t="shared" si="1"/>
        <v>0</v>
      </c>
      <c r="H148" s="135"/>
      <c r="I148" s="86"/>
      <c r="J148" s="96"/>
      <c r="K148" s="86"/>
    </row>
    <row r="149" ht="22.5" customHeight="1">
      <c r="A149" s="96"/>
      <c r="B149" s="104"/>
      <c r="C149" s="71"/>
      <c r="D149" s="59"/>
      <c r="E149" s="76"/>
      <c r="F149" s="93"/>
      <c r="G149" s="93">
        <f t="shared" si="1"/>
        <v>0</v>
      </c>
      <c r="H149" s="135"/>
      <c r="I149" s="86"/>
      <c r="J149" s="96"/>
      <c r="K149" s="86"/>
    </row>
    <row r="150" ht="22.5" customHeight="1">
      <c r="A150" s="96"/>
      <c r="B150" s="104"/>
      <c r="C150" s="71"/>
      <c r="D150" s="59"/>
      <c r="E150" s="76"/>
      <c r="F150" s="93"/>
      <c r="G150" s="93">
        <f t="shared" si="1"/>
        <v>0</v>
      </c>
      <c r="H150" s="135"/>
      <c r="I150" s="86"/>
      <c r="J150" s="96"/>
      <c r="K150" s="86"/>
    </row>
    <row r="151" ht="22.5" customHeight="1">
      <c r="A151" s="96"/>
      <c r="B151" s="104"/>
      <c r="C151" s="71"/>
      <c r="D151" s="59"/>
      <c r="E151" s="76"/>
      <c r="F151" s="93"/>
      <c r="G151" s="93">
        <f t="shared" si="1"/>
        <v>0</v>
      </c>
      <c r="H151" s="135"/>
      <c r="I151" s="86"/>
      <c r="J151" s="96"/>
      <c r="K151" s="86"/>
    </row>
    <row r="152" ht="22.5" customHeight="1">
      <c r="A152" s="96"/>
      <c r="B152" s="104"/>
      <c r="C152" s="71"/>
      <c r="D152" s="59"/>
      <c r="E152" s="76"/>
      <c r="F152" s="93"/>
      <c r="G152" s="93">
        <f t="shared" si="1"/>
        <v>0</v>
      </c>
      <c r="H152" s="135"/>
      <c r="I152" s="86"/>
      <c r="J152" s="96"/>
      <c r="K152" s="86"/>
    </row>
    <row r="153" ht="22.5" customHeight="1">
      <c r="A153" s="96"/>
      <c r="B153" s="104"/>
      <c r="C153" s="71"/>
      <c r="D153" s="59"/>
      <c r="E153" s="76"/>
      <c r="F153" s="93"/>
      <c r="G153" s="93">
        <f t="shared" si="1"/>
        <v>0</v>
      </c>
      <c r="H153" s="135"/>
      <c r="I153" s="86"/>
      <c r="J153" s="96"/>
      <c r="K153" s="86"/>
    </row>
    <row r="154" ht="22.5" customHeight="1">
      <c r="A154" s="96"/>
      <c r="B154" s="104"/>
      <c r="C154" s="71"/>
      <c r="D154" s="59"/>
      <c r="E154" s="76"/>
      <c r="F154" s="93"/>
      <c r="G154" s="93">
        <f t="shared" si="1"/>
        <v>0</v>
      </c>
      <c r="H154" s="135"/>
      <c r="I154" s="86"/>
      <c r="J154" s="96"/>
      <c r="K154" s="86"/>
    </row>
    <row r="155" ht="22.5" customHeight="1">
      <c r="A155" s="96"/>
      <c r="B155" s="104"/>
      <c r="C155" s="71"/>
      <c r="D155" s="59"/>
      <c r="E155" s="76"/>
      <c r="F155" s="93"/>
      <c r="G155" s="93">
        <f t="shared" si="1"/>
        <v>0</v>
      </c>
      <c r="H155" s="135"/>
      <c r="I155" s="86"/>
      <c r="J155" s="96"/>
      <c r="K155" s="86"/>
    </row>
    <row r="156" ht="22.5" customHeight="1">
      <c r="A156" s="96"/>
      <c r="B156" s="104"/>
      <c r="C156" s="71"/>
      <c r="D156" s="59"/>
      <c r="E156" s="76"/>
      <c r="F156" s="93"/>
      <c r="G156" s="93">
        <f t="shared" si="1"/>
        <v>0</v>
      </c>
      <c r="H156" s="135"/>
      <c r="I156" s="86"/>
      <c r="J156" s="96"/>
      <c r="K156" s="86"/>
    </row>
    <row r="157" ht="22.5" customHeight="1">
      <c r="A157" s="96"/>
      <c r="B157" s="104"/>
      <c r="C157" s="71"/>
      <c r="D157" s="59"/>
      <c r="E157" s="76"/>
      <c r="F157" s="93"/>
      <c r="G157" s="93">
        <f t="shared" si="1"/>
        <v>0</v>
      </c>
      <c r="H157" s="135"/>
      <c r="I157" s="86"/>
      <c r="J157" s="96"/>
      <c r="K157" s="86"/>
    </row>
    <row r="158" ht="22.5" customHeight="1">
      <c r="A158" s="96"/>
      <c r="B158" s="104"/>
      <c r="C158" s="71"/>
      <c r="D158" s="59"/>
      <c r="E158" s="76"/>
      <c r="F158" s="93"/>
      <c r="G158" s="93">
        <f t="shared" si="1"/>
        <v>0</v>
      </c>
      <c r="H158" s="135"/>
      <c r="I158" s="86"/>
      <c r="J158" s="96"/>
      <c r="K158" s="86"/>
    </row>
    <row r="159" ht="22.5" customHeight="1">
      <c r="A159" s="96"/>
      <c r="B159" s="104"/>
      <c r="C159" s="71"/>
      <c r="D159" s="59"/>
      <c r="E159" s="76"/>
      <c r="F159" s="93"/>
      <c r="G159" s="93">
        <f t="shared" si="1"/>
        <v>0</v>
      </c>
      <c r="H159" s="135"/>
      <c r="I159" s="86"/>
      <c r="J159" s="96"/>
      <c r="K159" s="86"/>
    </row>
    <row r="160" ht="22.5" customHeight="1">
      <c r="A160" s="147"/>
      <c r="B160" s="148"/>
      <c r="C160" s="149"/>
      <c r="D160" s="150"/>
      <c r="E160" s="151"/>
      <c r="F160" s="152"/>
      <c r="G160" s="152">
        <f t="shared" si="1"/>
        <v>0</v>
      </c>
      <c r="H160" s="153"/>
      <c r="I160" s="154"/>
      <c r="J160" s="147"/>
      <c r="K160" s="154"/>
    </row>
    <row r="161" ht="22.5" customHeight="1">
      <c r="A161" s="147"/>
      <c r="B161" s="148"/>
      <c r="C161" s="149"/>
      <c r="D161" s="150"/>
      <c r="E161" s="151"/>
      <c r="F161" s="152"/>
      <c r="G161" s="152">
        <f t="shared" si="1"/>
        <v>0</v>
      </c>
      <c r="H161" s="153"/>
      <c r="I161" s="154"/>
      <c r="J161" s="147"/>
      <c r="K161" s="154"/>
    </row>
    <row r="162" ht="22.5" customHeight="1">
      <c r="A162" s="147"/>
      <c r="B162" s="148"/>
      <c r="C162" s="149"/>
      <c r="D162" s="150"/>
      <c r="E162" s="151"/>
      <c r="F162" s="152"/>
      <c r="G162" s="152">
        <f t="shared" si="1"/>
        <v>0</v>
      </c>
      <c r="H162" s="153"/>
      <c r="I162" s="154"/>
      <c r="J162" s="147"/>
      <c r="K162" s="154"/>
    </row>
    <row r="163" ht="22.5" customHeight="1">
      <c r="A163" s="147"/>
      <c r="B163" s="148"/>
      <c r="C163" s="149"/>
      <c r="D163" s="150"/>
      <c r="E163" s="151"/>
      <c r="F163" s="152"/>
      <c r="G163" s="152">
        <f t="shared" si="1"/>
        <v>0</v>
      </c>
      <c r="H163" s="153"/>
      <c r="I163" s="154"/>
      <c r="J163" s="147"/>
      <c r="K163" s="154"/>
    </row>
    <row r="164" ht="22.5" customHeight="1">
      <c r="A164" s="147"/>
      <c r="B164" s="148"/>
      <c r="C164" s="149"/>
      <c r="D164" s="150"/>
      <c r="E164" s="151"/>
      <c r="F164" s="152"/>
      <c r="G164" s="152">
        <f t="shared" si="1"/>
        <v>0</v>
      </c>
      <c r="H164" s="153"/>
      <c r="I164" s="154"/>
      <c r="J164" s="147"/>
      <c r="K164" s="154"/>
    </row>
    <row r="165" ht="22.5" customHeight="1">
      <c r="A165" s="147"/>
      <c r="B165" s="148"/>
      <c r="C165" s="149"/>
      <c r="D165" s="150"/>
      <c r="E165" s="151"/>
      <c r="F165" s="152"/>
      <c r="G165" s="152">
        <f t="shared" si="1"/>
        <v>0</v>
      </c>
      <c r="H165" s="153"/>
      <c r="I165" s="154"/>
      <c r="J165" s="147"/>
      <c r="K165" s="154"/>
    </row>
    <row r="166" ht="22.5" customHeight="1">
      <c r="A166" s="147"/>
      <c r="B166" s="148"/>
      <c r="C166" s="149"/>
      <c r="D166" s="150"/>
      <c r="E166" s="151"/>
      <c r="F166" s="152"/>
      <c r="G166" s="152">
        <f t="shared" si="1"/>
        <v>0</v>
      </c>
      <c r="H166" s="153"/>
      <c r="I166" s="154"/>
      <c r="J166" s="147"/>
      <c r="K166" s="154"/>
    </row>
    <row r="167" ht="22.5" customHeight="1">
      <c r="A167" s="147"/>
      <c r="B167" s="148"/>
      <c r="C167" s="149"/>
      <c r="D167" s="150"/>
      <c r="E167" s="151"/>
      <c r="F167" s="152"/>
      <c r="G167" s="152">
        <f t="shared" si="1"/>
        <v>0</v>
      </c>
      <c r="H167" s="153"/>
      <c r="I167" s="154"/>
      <c r="J167" s="147"/>
      <c r="K167" s="154"/>
    </row>
    <row r="168" ht="22.5" customHeight="1">
      <c r="A168" s="147"/>
      <c r="B168" s="148"/>
      <c r="C168" s="149"/>
      <c r="D168" s="150"/>
      <c r="E168" s="151"/>
      <c r="F168" s="152"/>
      <c r="G168" s="152">
        <f t="shared" si="1"/>
        <v>0</v>
      </c>
      <c r="H168" s="153"/>
      <c r="I168" s="154"/>
      <c r="J168" s="147"/>
      <c r="K168" s="154"/>
    </row>
    <row r="169" ht="22.5" customHeight="1">
      <c r="A169" s="147"/>
      <c r="B169" s="148"/>
      <c r="C169" s="149"/>
      <c r="D169" s="150"/>
      <c r="E169" s="151"/>
      <c r="F169" s="152"/>
      <c r="G169" s="152">
        <f t="shared" si="1"/>
        <v>0</v>
      </c>
      <c r="H169" s="153"/>
      <c r="I169" s="154"/>
      <c r="J169" s="147"/>
      <c r="K169" s="154"/>
    </row>
    <row r="170" ht="22.5" customHeight="1">
      <c r="A170" s="147"/>
      <c r="B170" s="148"/>
      <c r="C170" s="149"/>
      <c r="D170" s="150"/>
      <c r="E170" s="151"/>
      <c r="F170" s="152"/>
      <c r="G170" s="152">
        <f t="shared" si="1"/>
        <v>0</v>
      </c>
      <c r="H170" s="153"/>
      <c r="I170" s="154"/>
      <c r="J170" s="147"/>
      <c r="K170" s="154"/>
    </row>
    <row r="171" ht="22.5" customHeight="1">
      <c r="A171" s="147"/>
      <c r="B171" s="148"/>
      <c r="C171" s="149"/>
      <c r="D171" s="150"/>
      <c r="E171" s="151"/>
      <c r="F171" s="152"/>
      <c r="G171" s="152">
        <f t="shared" si="1"/>
        <v>0</v>
      </c>
      <c r="H171" s="153"/>
      <c r="I171" s="154"/>
      <c r="J171" s="147"/>
      <c r="K171" s="154"/>
    </row>
    <row r="172" ht="22.5" customHeight="1">
      <c r="A172" s="147"/>
      <c r="B172" s="148"/>
      <c r="C172" s="149"/>
      <c r="D172" s="150"/>
      <c r="E172" s="151"/>
      <c r="F172" s="152"/>
      <c r="G172" s="152">
        <f t="shared" si="1"/>
        <v>0</v>
      </c>
      <c r="H172" s="153"/>
      <c r="I172" s="154"/>
      <c r="J172" s="147"/>
      <c r="K172" s="154"/>
    </row>
    <row r="173" ht="22.5" customHeight="1">
      <c r="A173" s="147"/>
      <c r="B173" s="148"/>
      <c r="C173" s="149"/>
      <c r="D173" s="150"/>
      <c r="E173" s="151"/>
      <c r="F173" s="152"/>
      <c r="G173" s="152">
        <f t="shared" si="1"/>
        <v>0</v>
      </c>
      <c r="H173" s="153"/>
      <c r="I173" s="154"/>
      <c r="J173" s="147"/>
      <c r="K173" s="154"/>
    </row>
    <row r="174" ht="22.5" customHeight="1">
      <c r="A174" s="147"/>
      <c r="B174" s="148"/>
      <c r="C174" s="149"/>
      <c r="D174" s="150"/>
      <c r="E174" s="151"/>
      <c r="F174" s="152"/>
      <c r="G174" s="152">
        <f t="shared" si="1"/>
        <v>0</v>
      </c>
      <c r="H174" s="153"/>
      <c r="I174" s="154"/>
      <c r="J174" s="147"/>
      <c r="K174" s="154"/>
    </row>
    <row r="175" ht="22.5" customHeight="1">
      <c r="A175" s="147"/>
      <c r="B175" s="148"/>
      <c r="C175" s="149"/>
      <c r="D175" s="150"/>
      <c r="E175" s="151"/>
      <c r="F175" s="152"/>
      <c r="G175" s="152">
        <f t="shared" si="1"/>
        <v>0</v>
      </c>
      <c r="H175" s="153"/>
      <c r="I175" s="154"/>
      <c r="J175" s="147"/>
      <c r="K175" s="154"/>
    </row>
    <row r="176" ht="22.5" customHeight="1">
      <c r="A176" s="147"/>
      <c r="B176" s="148"/>
      <c r="C176" s="149"/>
      <c r="D176" s="150"/>
      <c r="E176" s="151"/>
      <c r="F176" s="152"/>
      <c r="G176" s="152">
        <f t="shared" si="1"/>
        <v>0</v>
      </c>
      <c r="H176" s="153"/>
      <c r="I176" s="154"/>
      <c r="J176" s="147"/>
      <c r="K176" s="154"/>
    </row>
    <row r="177" ht="22.5" customHeight="1">
      <c r="A177" s="147"/>
      <c r="B177" s="148"/>
      <c r="C177" s="149"/>
      <c r="D177" s="150"/>
      <c r="E177" s="151"/>
      <c r="F177" s="152"/>
      <c r="G177" s="152">
        <f t="shared" si="1"/>
        <v>0</v>
      </c>
      <c r="H177" s="153"/>
      <c r="I177" s="154"/>
      <c r="J177" s="147"/>
      <c r="K177" s="154"/>
    </row>
    <row r="178" ht="22.5" customHeight="1">
      <c r="A178" s="147"/>
      <c r="B178" s="148"/>
      <c r="C178" s="149"/>
      <c r="D178" s="150"/>
      <c r="E178" s="151"/>
      <c r="F178" s="152"/>
      <c r="G178" s="152">
        <f t="shared" si="1"/>
        <v>0</v>
      </c>
      <c r="H178" s="153"/>
      <c r="I178" s="154"/>
      <c r="J178" s="147"/>
      <c r="K178" s="154"/>
    </row>
    <row r="179" ht="22.5" customHeight="1">
      <c r="A179" s="147"/>
      <c r="B179" s="148"/>
      <c r="C179" s="149"/>
      <c r="D179" s="150"/>
      <c r="E179" s="151"/>
      <c r="F179" s="152"/>
      <c r="G179" s="152">
        <f t="shared" si="1"/>
        <v>0</v>
      </c>
      <c r="H179" s="153"/>
      <c r="I179" s="154"/>
      <c r="J179" s="147"/>
      <c r="K179" s="154"/>
    </row>
    <row r="180" ht="22.5" customHeight="1">
      <c r="A180" s="147"/>
      <c r="B180" s="148"/>
      <c r="C180" s="149"/>
      <c r="D180" s="150"/>
      <c r="E180" s="151"/>
      <c r="F180" s="152"/>
      <c r="G180" s="152">
        <f t="shared" si="1"/>
        <v>0</v>
      </c>
      <c r="H180" s="153"/>
      <c r="I180" s="154"/>
      <c r="J180" s="147"/>
      <c r="K180" s="154"/>
    </row>
    <row r="181" ht="22.5" customHeight="1">
      <c r="A181" s="147"/>
      <c r="B181" s="148"/>
      <c r="C181" s="149"/>
      <c r="D181" s="150"/>
      <c r="E181" s="151"/>
      <c r="F181" s="152"/>
      <c r="G181" s="152">
        <f t="shared" si="1"/>
        <v>0</v>
      </c>
      <c r="H181" s="153"/>
      <c r="I181" s="154"/>
      <c r="J181" s="147"/>
      <c r="K181" s="154"/>
    </row>
    <row r="182" ht="22.5" customHeight="1">
      <c r="A182" s="147"/>
      <c r="B182" s="148"/>
      <c r="C182" s="149"/>
      <c r="D182" s="150"/>
      <c r="E182" s="151"/>
      <c r="F182" s="152"/>
      <c r="G182" s="152">
        <f t="shared" si="1"/>
        <v>0</v>
      </c>
      <c r="H182" s="153"/>
      <c r="I182" s="154"/>
      <c r="J182" s="147"/>
      <c r="K182" s="154"/>
    </row>
    <row r="183" ht="22.5" customHeight="1">
      <c r="A183" s="147"/>
      <c r="B183" s="148"/>
      <c r="C183" s="149"/>
      <c r="D183" s="150"/>
      <c r="E183" s="151"/>
      <c r="F183" s="152"/>
      <c r="G183" s="152">
        <f t="shared" si="1"/>
        <v>0</v>
      </c>
      <c r="H183" s="153"/>
      <c r="I183" s="154"/>
      <c r="J183" s="147"/>
      <c r="K183" s="154"/>
    </row>
    <row r="184" ht="22.5" customHeight="1">
      <c r="A184" s="147"/>
      <c r="B184" s="148"/>
      <c r="C184" s="149"/>
      <c r="D184" s="150"/>
      <c r="E184" s="151"/>
      <c r="F184" s="152"/>
      <c r="G184" s="152">
        <f t="shared" si="1"/>
        <v>0</v>
      </c>
      <c r="H184" s="153"/>
      <c r="I184" s="154"/>
      <c r="J184" s="147"/>
      <c r="K184" s="154"/>
    </row>
    <row r="185" ht="22.5" customHeight="1">
      <c r="A185" s="147"/>
      <c r="B185" s="148"/>
      <c r="C185" s="149"/>
      <c r="D185" s="150"/>
      <c r="E185" s="151"/>
      <c r="F185" s="152"/>
      <c r="G185" s="152">
        <f t="shared" si="1"/>
        <v>0</v>
      </c>
      <c r="H185" s="153"/>
      <c r="I185" s="154"/>
      <c r="J185" s="147"/>
      <c r="K185" s="154"/>
    </row>
    <row r="186" ht="22.5" customHeight="1">
      <c r="A186" s="147"/>
      <c r="B186" s="148"/>
      <c r="C186" s="149"/>
      <c r="D186" s="150"/>
      <c r="E186" s="151"/>
      <c r="F186" s="152"/>
      <c r="G186" s="152">
        <f t="shared" si="1"/>
        <v>0</v>
      </c>
      <c r="H186" s="153"/>
      <c r="I186" s="154"/>
      <c r="J186" s="147"/>
      <c r="K186" s="154"/>
    </row>
    <row r="187" ht="22.5" customHeight="1">
      <c r="A187" s="147"/>
      <c r="B187" s="148"/>
      <c r="C187" s="149"/>
      <c r="D187" s="150"/>
      <c r="E187" s="151"/>
      <c r="F187" s="152"/>
      <c r="G187" s="152">
        <f t="shared" si="1"/>
        <v>0</v>
      </c>
      <c r="H187" s="153"/>
      <c r="I187" s="154"/>
      <c r="J187" s="147"/>
      <c r="K187" s="154"/>
    </row>
    <row r="188" ht="22.5" customHeight="1">
      <c r="A188" s="147"/>
      <c r="B188" s="148"/>
      <c r="C188" s="149"/>
      <c r="D188" s="150"/>
      <c r="E188" s="151"/>
      <c r="F188" s="152"/>
      <c r="G188" s="152">
        <f t="shared" si="1"/>
        <v>0</v>
      </c>
      <c r="H188" s="153"/>
      <c r="I188" s="154"/>
      <c r="J188" s="147"/>
      <c r="K188" s="154"/>
    </row>
    <row r="189" ht="22.5" customHeight="1">
      <c r="A189" s="147"/>
      <c r="B189" s="148"/>
      <c r="C189" s="149"/>
      <c r="D189" s="150"/>
      <c r="E189" s="151"/>
      <c r="F189" s="152"/>
      <c r="G189" s="152">
        <f t="shared" si="1"/>
        <v>0</v>
      </c>
      <c r="H189" s="153"/>
      <c r="I189" s="154"/>
      <c r="J189" s="147"/>
      <c r="K189" s="154"/>
    </row>
    <row r="190" ht="22.5" customHeight="1">
      <c r="A190" s="147"/>
      <c r="B190" s="148"/>
      <c r="C190" s="149"/>
      <c r="D190" s="150"/>
      <c r="E190" s="151"/>
      <c r="F190" s="152"/>
      <c r="G190" s="152">
        <f t="shared" si="1"/>
        <v>0</v>
      </c>
      <c r="H190" s="153"/>
      <c r="I190" s="154"/>
      <c r="J190" s="147"/>
      <c r="K190" s="154"/>
    </row>
    <row r="191" ht="22.5" customHeight="1">
      <c r="A191" s="147"/>
      <c r="B191" s="148"/>
      <c r="C191" s="149"/>
      <c r="D191" s="150"/>
      <c r="E191" s="151"/>
      <c r="F191" s="152"/>
      <c r="G191" s="152">
        <f t="shared" si="1"/>
        <v>0</v>
      </c>
      <c r="H191" s="153"/>
      <c r="I191" s="154"/>
      <c r="J191" s="147"/>
      <c r="K191" s="154"/>
    </row>
    <row r="192" ht="22.5" customHeight="1">
      <c r="A192" s="147"/>
      <c r="B192" s="148"/>
      <c r="C192" s="149"/>
      <c r="D192" s="150"/>
      <c r="E192" s="151"/>
      <c r="F192" s="152"/>
      <c r="G192" s="152">
        <f t="shared" si="1"/>
        <v>0</v>
      </c>
      <c r="H192" s="153"/>
      <c r="I192" s="154"/>
      <c r="J192" s="147"/>
      <c r="K192" s="154"/>
    </row>
    <row r="193" ht="22.5" customHeight="1">
      <c r="A193" s="147"/>
      <c r="B193" s="148"/>
      <c r="C193" s="149"/>
      <c r="D193" s="150"/>
      <c r="E193" s="151"/>
      <c r="F193" s="152"/>
      <c r="G193" s="152">
        <f t="shared" si="1"/>
        <v>0</v>
      </c>
      <c r="H193" s="153"/>
      <c r="I193" s="154"/>
      <c r="J193" s="147"/>
      <c r="K193" s="154"/>
    </row>
    <row r="194" ht="22.5" customHeight="1">
      <c r="A194" s="147"/>
      <c r="B194" s="148"/>
      <c r="C194" s="149"/>
      <c r="D194" s="150"/>
      <c r="E194" s="151"/>
      <c r="F194" s="152"/>
      <c r="G194" s="152">
        <f t="shared" si="1"/>
        <v>0</v>
      </c>
      <c r="H194" s="153"/>
      <c r="I194" s="154"/>
      <c r="J194" s="147"/>
      <c r="K194" s="154"/>
    </row>
    <row r="195" ht="22.5" customHeight="1">
      <c r="A195" s="147"/>
      <c r="B195" s="148"/>
      <c r="C195" s="149"/>
      <c r="D195" s="150"/>
      <c r="E195" s="151"/>
      <c r="F195" s="152"/>
      <c r="G195" s="152">
        <f t="shared" si="1"/>
        <v>0</v>
      </c>
      <c r="H195" s="153"/>
      <c r="I195" s="154"/>
      <c r="J195" s="147"/>
      <c r="K195" s="154"/>
    </row>
    <row r="196" ht="22.5" customHeight="1">
      <c r="A196" s="147"/>
      <c r="B196" s="148"/>
      <c r="C196" s="149"/>
      <c r="D196" s="150"/>
      <c r="E196" s="151"/>
      <c r="F196" s="152"/>
      <c r="G196" s="152">
        <f t="shared" si="1"/>
        <v>0</v>
      </c>
      <c r="H196" s="153"/>
      <c r="I196" s="154"/>
      <c r="J196" s="147"/>
      <c r="K196" s="154"/>
    </row>
    <row r="197" ht="22.5" customHeight="1">
      <c r="A197" s="147"/>
      <c r="B197" s="148"/>
      <c r="C197" s="149"/>
      <c r="D197" s="150"/>
      <c r="E197" s="151"/>
      <c r="F197" s="152"/>
      <c r="G197" s="152">
        <f t="shared" si="1"/>
        <v>0</v>
      </c>
      <c r="H197" s="153"/>
      <c r="I197" s="154"/>
      <c r="J197" s="147"/>
      <c r="K197" s="154"/>
    </row>
    <row r="198" ht="22.5" customHeight="1">
      <c r="A198" s="147"/>
      <c r="B198" s="148"/>
      <c r="C198" s="149"/>
      <c r="D198" s="150"/>
      <c r="E198" s="151"/>
      <c r="F198" s="152"/>
      <c r="G198" s="152">
        <f t="shared" si="1"/>
        <v>0</v>
      </c>
      <c r="H198" s="153"/>
      <c r="I198" s="154"/>
      <c r="J198" s="147"/>
      <c r="K198" s="154"/>
    </row>
    <row r="199" ht="22.5" customHeight="1">
      <c r="A199" s="147"/>
      <c r="B199" s="148"/>
      <c r="C199" s="149"/>
      <c r="D199" s="150"/>
      <c r="E199" s="151"/>
      <c r="F199" s="152"/>
      <c r="G199" s="152">
        <f t="shared" si="1"/>
        <v>0</v>
      </c>
      <c r="H199" s="153"/>
      <c r="I199" s="154"/>
      <c r="J199" s="147"/>
      <c r="K199" s="154"/>
    </row>
    <row r="200" ht="22.5" customHeight="1">
      <c r="A200" s="147"/>
      <c r="B200" s="148"/>
      <c r="C200" s="149"/>
      <c r="D200" s="150"/>
      <c r="E200" s="151"/>
      <c r="F200" s="152"/>
      <c r="G200" s="152">
        <f t="shared" si="1"/>
        <v>0</v>
      </c>
      <c r="H200" s="153"/>
      <c r="I200" s="154"/>
      <c r="J200" s="147"/>
      <c r="K200" s="154"/>
    </row>
    <row r="201" ht="22.5" customHeight="1">
      <c r="A201" s="147"/>
      <c r="B201" s="148"/>
      <c r="C201" s="149"/>
      <c r="D201" s="150"/>
      <c r="E201" s="151"/>
      <c r="F201" s="152"/>
      <c r="G201" s="152">
        <f t="shared" si="1"/>
        <v>0</v>
      </c>
      <c r="H201" s="153"/>
      <c r="I201" s="154"/>
      <c r="J201" s="147"/>
      <c r="K201" s="154"/>
    </row>
    <row r="202" ht="22.5" customHeight="1">
      <c r="A202" s="147"/>
      <c r="B202" s="148"/>
      <c r="C202" s="149"/>
      <c r="D202" s="150"/>
      <c r="E202" s="151"/>
      <c r="F202" s="152"/>
      <c r="G202" s="152">
        <f t="shared" si="1"/>
        <v>0</v>
      </c>
      <c r="H202" s="153"/>
      <c r="I202" s="154"/>
      <c r="J202" s="147"/>
      <c r="K202" s="154"/>
    </row>
    <row r="203" ht="22.5" customHeight="1">
      <c r="A203" s="147"/>
      <c r="B203" s="148"/>
      <c r="C203" s="149"/>
      <c r="D203" s="150"/>
      <c r="E203" s="151"/>
      <c r="F203" s="152"/>
      <c r="G203" s="152">
        <f t="shared" si="1"/>
        <v>0</v>
      </c>
      <c r="H203" s="153"/>
      <c r="I203" s="154"/>
      <c r="J203" s="147"/>
      <c r="K203" s="154"/>
    </row>
    <row r="204" ht="22.5" customHeight="1">
      <c r="A204" s="147"/>
      <c r="B204" s="148"/>
      <c r="C204" s="149"/>
      <c r="D204" s="150"/>
      <c r="E204" s="151"/>
      <c r="F204" s="152"/>
      <c r="G204" s="152">
        <f t="shared" si="1"/>
        <v>0</v>
      </c>
      <c r="H204" s="153"/>
      <c r="I204" s="154"/>
      <c r="J204" s="147"/>
      <c r="K204" s="154"/>
    </row>
    <row r="205" ht="22.5" customHeight="1">
      <c r="A205" s="147"/>
      <c r="B205" s="148"/>
      <c r="C205" s="149"/>
      <c r="D205" s="150"/>
      <c r="E205" s="151"/>
      <c r="F205" s="152"/>
      <c r="G205" s="152">
        <f t="shared" si="1"/>
        <v>0</v>
      </c>
      <c r="H205" s="153"/>
      <c r="I205" s="154"/>
      <c r="J205" s="147"/>
      <c r="K205" s="154"/>
    </row>
    <row r="206" ht="22.5" customHeight="1">
      <c r="A206" s="147"/>
      <c r="B206" s="148"/>
      <c r="C206" s="149"/>
      <c r="D206" s="150"/>
      <c r="E206" s="151"/>
      <c r="F206" s="152"/>
      <c r="G206" s="152">
        <f t="shared" si="1"/>
        <v>0</v>
      </c>
      <c r="H206" s="153"/>
      <c r="I206" s="154"/>
      <c r="J206" s="147"/>
      <c r="K206" s="154"/>
    </row>
    <row r="207" ht="22.5" customHeight="1">
      <c r="A207" s="147"/>
      <c r="B207" s="148"/>
      <c r="C207" s="149"/>
      <c r="D207" s="150"/>
      <c r="E207" s="151"/>
      <c r="F207" s="152"/>
      <c r="G207" s="152">
        <f t="shared" si="1"/>
        <v>0</v>
      </c>
      <c r="H207" s="153"/>
      <c r="I207" s="154"/>
      <c r="J207" s="147"/>
      <c r="K207" s="154"/>
    </row>
    <row r="208" ht="22.5" customHeight="1">
      <c r="A208" s="147"/>
      <c r="B208" s="148"/>
      <c r="C208" s="149"/>
      <c r="D208" s="150"/>
      <c r="E208" s="151"/>
      <c r="F208" s="152"/>
      <c r="G208" s="152">
        <f t="shared" si="1"/>
        <v>0</v>
      </c>
      <c r="H208" s="153"/>
      <c r="I208" s="154"/>
      <c r="J208" s="147"/>
      <c r="K208" s="154"/>
    </row>
    <row r="209" ht="22.5" customHeight="1">
      <c r="A209" s="147"/>
      <c r="B209" s="148"/>
      <c r="C209" s="149"/>
      <c r="D209" s="150"/>
      <c r="E209" s="151"/>
      <c r="F209" s="152"/>
      <c r="G209" s="152">
        <f t="shared" si="1"/>
        <v>0</v>
      </c>
      <c r="H209" s="153"/>
      <c r="I209" s="154"/>
      <c r="J209" s="147"/>
      <c r="K209" s="154"/>
    </row>
    <row r="210" ht="22.5" customHeight="1">
      <c r="A210" s="147"/>
      <c r="B210" s="148"/>
      <c r="C210" s="149"/>
      <c r="D210" s="150"/>
      <c r="E210" s="151"/>
      <c r="F210" s="152"/>
      <c r="G210" s="152">
        <f t="shared" si="1"/>
        <v>0</v>
      </c>
      <c r="H210" s="153"/>
      <c r="I210" s="154"/>
      <c r="J210" s="147"/>
      <c r="K210" s="154"/>
    </row>
    <row r="211" ht="22.5" customHeight="1">
      <c r="A211" s="147"/>
      <c r="B211" s="148"/>
      <c r="C211" s="149"/>
      <c r="D211" s="150"/>
      <c r="E211" s="151"/>
      <c r="F211" s="152"/>
      <c r="G211" s="152">
        <f t="shared" si="1"/>
        <v>0</v>
      </c>
      <c r="H211" s="153"/>
      <c r="I211" s="154"/>
      <c r="J211" s="147"/>
      <c r="K211" s="154"/>
    </row>
    <row r="212" ht="22.5" customHeight="1">
      <c r="A212" s="147"/>
      <c r="B212" s="148"/>
      <c r="C212" s="149"/>
      <c r="D212" s="150"/>
      <c r="E212" s="151"/>
      <c r="F212" s="152"/>
      <c r="G212" s="152">
        <f t="shared" si="1"/>
        <v>0</v>
      </c>
      <c r="H212" s="153"/>
      <c r="I212" s="154"/>
      <c r="J212" s="147"/>
      <c r="K212" s="154"/>
    </row>
    <row r="213" ht="22.5" customHeight="1">
      <c r="A213" s="147"/>
      <c r="B213" s="148"/>
      <c r="C213" s="149"/>
      <c r="D213" s="150"/>
      <c r="E213" s="151"/>
      <c r="F213" s="152"/>
      <c r="G213" s="152">
        <f t="shared" si="1"/>
        <v>0</v>
      </c>
      <c r="H213" s="153"/>
      <c r="I213" s="154"/>
      <c r="J213" s="147"/>
      <c r="K213" s="154"/>
    </row>
    <row r="214" ht="22.5" customHeight="1">
      <c r="A214" s="147"/>
      <c r="B214" s="148"/>
      <c r="C214" s="149"/>
      <c r="D214" s="150"/>
      <c r="E214" s="151"/>
      <c r="F214" s="152"/>
      <c r="G214" s="152">
        <f t="shared" si="1"/>
        <v>0</v>
      </c>
      <c r="H214" s="153"/>
      <c r="I214" s="154"/>
      <c r="J214" s="147"/>
      <c r="K214" s="154"/>
    </row>
    <row r="215" ht="22.5" customHeight="1">
      <c r="A215" s="147"/>
      <c r="B215" s="148"/>
      <c r="C215" s="149"/>
      <c r="D215" s="150"/>
      <c r="E215" s="151"/>
      <c r="F215" s="152"/>
      <c r="G215" s="152">
        <f t="shared" si="1"/>
        <v>0</v>
      </c>
      <c r="H215" s="153"/>
      <c r="I215" s="154"/>
      <c r="J215" s="147"/>
      <c r="K215" s="154"/>
    </row>
    <row r="216" ht="22.5" customHeight="1">
      <c r="A216" s="147"/>
      <c r="B216" s="148"/>
      <c r="C216" s="149"/>
      <c r="D216" s="150"/>
      <c r="E216" s="151"/>
      <c r="F216" s="152"/>
      <c r="G216" s="152">
        <f t="shared" si="1"/>
        <v>0</v>
      </c>
      <c r="H216" s="153"/>
      <c r="I216" s="154"/>
      <c r="J216" s="147"/>
      <c r="K216" s="154"/>
    </row>
    <row r="217" ht="22.5" customHeight="1">
      <c r="A217" s="147"/>
      <c r="B217" s="148"/>
      <c r="C217" s="149"/>
      <c r="D217" s="150"/>
      <c r="E217" s="151"/>
      <c r="F217" s="152"/>
      <c r="G217" s="152">
        <f t="shared" si="1"/>
        <v>0</v>
      </c>
      <c r="H217" s="153"/>
      <c r="I217" s="154"/>
      <c r="J217" s="147"/>
      <c r="K217" s="154"/>
    </row>
    <row r="218" ht="22.5" customHeight="1">
      <c r="A218" s="147"/>
      <c r="B218" s="148"/>
      <c r="C218" s="149"/>
      <c r="D218" s="150"/>
      <c r="E218" s="151"/>
      <c r="F218" s="152"/>
      <c r="G218" s="152">
        <f t="shared" si="1"/>
        <v>0</v>
      </c>
      <c r="H218" s="153"/>
      <c r="I218" s="154"/>
      <c r="J218" s="147"/>
      <c r="K218" s="154"/>
    </row>
    <row r="219" ht="22.5" customHeight="1">
      <c r="A219" s="147"/>
      <c r="B219" s="148"/>
      <c r="C219" s="149"/>
      <c r="D219" s="150"/>
      <c r="E219" s="151"/>
      <c r="F219" s="152"/>
      <c r="G219" s="152">
        <f t="shared" si="1"/>
        <v>0</v>
      </c>
      <c r="H219" s="153"/>
      <c r="I219" s="154"/>
      <c r="J219" s="147"/>
      <c r="K219" s="154"/>
    </row>
    <row r="220" ht="22.5" customHeight="1">
      <c r="A220" s="147"/>
      <c r="B220" s="148"/>
      <c r="C220" s="149"/>
      <c r="D220" s="150"/>
      <c r="E220" s="151"/>
      <c r="F220" s="152"/>
      <c r="G220" s="152">
        <f t="shared" si="1"/>
        <v>0</v>
      </c>
      <c r="H220" s="153"/>
      <c r="I220" s="154"/>
      <c r="J220" s="147"/>
      <c r="K220" s="154"/>
    </row>
    <row r="221" ht="22.5" customHeight="1">
      <c r="A221" s="147"/>
      <c r="B221" s="148"/>
      <c r="C221" s="149"/>
      <c r="D221" s="150"/>
      <c r="E221" s="151"/>
      <c r="F221" s="152"/>
      <c r="G221" s="152">
        <f t="shared" si="1"/>
        <v>0</v>
      </c>
      <c r="H221" s="153"/>
      <c r="I221" s="154"/>
      <c r="J221" s="147"/>
      <c r="K221" s="154"/>
    </row>
    <row r="222" ht="22.5" customHeight="1">
      <c r="A222" s="147"/>
      <c r="B222" s="148"/>
      <c r="C222" s="149"/>
      <c r="D222" s="150"/>
      <c r="E222" s="151"/>
      <c r="F222" s="152"/>
      <c r="G222" s="152">
        <f t="shared" si="1"/>
        <v>0</v>
      </c>
      <c r="H222" s="153"/>
      <c r="I222" s="154"/>
      <c r="J222" s="147"/>
      <c r="K222" s="154"/>
    </row>
    <row r="223" ht="22.5" customHeight="1">
      <c r="A223" s="147"/>
      <c r="B223" s="148"/>
      <c r="C223" s="149"/>
      <c r="D223" s="150"/>
      <c r="E223" s="151"/>
      <c r="F223" s="152"/>
      <c r="G223" s="152">
        <f t="shared" si="1"/>
        <v>0</v>
      </c>
      <c r="H223" s="153"/>
      <c r="I223" s="154"/>
      <c r="J223" s="147"/>
      <c r="K223" s="154"/>
    </row>
    <row r="224" ht="22.5" customHeight="1">
      <c r="A224" s="147"/>
      <c r="B224" s="148"/>
      <c r="C224" s="149"/>
      <c r="D224" s="150"/>
      <c r="E224" s="151"/>
      <c r="F224" s="152"/>
      <c r="G224" s="152">
        <f t="shared" si="1"/>
        <v>0</v>
      </c>
      <c r="H224" s="153"/>
      <c r="I224" s="154"/>
      <c r="J224" s="147"/>
      <c r="K224" s="154"/>
    </row>
    <row r="225" ht="22.5" customHeight="1">
      <c r="A225" s="147"/>
      <c r="B225" s="148"/>
      <c r="C225" s="149"/>
      <c r="D225" s="150"/>
      <c r="E225" s="151"/>
      <c r="F225" s="152"/>
      <c r="G225" s="152">
        <f t="shared" si="1"/>
        <v>0</v>
      </c>
      <c r="H225" s="153"/>
      <c r="I225" s="154"/>
      <c r="J225" s="147"/>
      <c r="K225" s="154"/>
    </row>
    <row r="226" ht="22.5" customHeight="1">
      <c r="A226" s="147"/>
      <c r="B226" s="148"/>
      <c r="C226" s="149"/>
      <c r="D226" s="150"/>
      <c r="E226" s="151"/>
      <c r="F226" s="152"/>
      <c r="G226" s="152">
        <f t="shared" si="1"/>
        <v>0</v>
      </c>
      <c r="H226" s="153"/>
      <c r="I226" s="154"/>
      <c r="J226" s="147"/>
      <c r="K226" s="154"/>
    </row>
    <row r="227" ht="22.5" customHeight="1">
      <c r="A227" s="147"/>
      <c r="B227" s="148"/>
      <c r="C227" s="149"/>
      <c r="D227" s="150"/>
      <c r="E227" s="151"/>
      <c r="F227" s="152"/>
      <c r="G227" s="152">
        <f t="shared" si="1"/>
        <v>0</v>
      </c>
      <c r="H227" s="153"/>
      <c r="I227" s="154"/>
      <c r="J227" s="147"/>
      <c r="K227" s="154"/>
    </row>
    <row r="228" ht="22.5" customHeight="1">
      <c r="A228" s="147"/>
      <c r="B228" s="148"/>
      <c r="C228" s="149"/>
      <c r="D228" s="150"/>
      <c r="E228" s="151"/>
      <c r="F228" s="152"/>
      <c r="G228" s="152">
        <f t="shared" si="1"/>
        <v>0</v>
      </c>
      <c r="H228" s="153"/>
      <c r="I228" s="154"/>
      <c r="J228" s="147"/>
      <c r="K228" s="154"/>
    </row>
    <row r="229" ht="22.5" customHeight="1">
      <c r="A229" s="147"/>
      <c r="B229" s="148"/>
      <c r="C229" s="149"/>
      <c r="D229" s="150"/>
      <c r="E229" s="151"/>
      <c r="F229" s="152"/>
      <c r="G229" s="152">
        <f t="shared" si="1"/>
        <v>0</v>
      </c>
      <c r="H229" s="153"/>
      <c r="I229" s="154"/>
      <c r="J229" s="147"/>
      <c r="K229" s="154"/>
    </row>
    <row r="230" ht="22.5" customHeight="1">
      <c r="A230" s="147"/>
      <c r="B230" s="148"/>
      <c r="C230" s="149"/>
      <c r="D230" s="150"/>
      <c r="E230" s="151"/>
      <c r="F230" s="152"/>
      <c r="G230" s="152">
        <f t="shared" si="1"/>
        <v>0</v>
      </c>
      <c r="H230" s="153"/>
      <c r="I230" s="154"/>
      <c r="J230" s="147"/>
      <c r="K230" s="154"/>
    </row>
    <row r="231" ht="22.5" customHeight="1">
      <c r="A231" s="147"/>
      <c r="B231" s="148"/>
      <c r="C231" s="149"/>
      <c r="D231" s="150"/>
      <c r="E231" s="151"/>
      <c r="F231" s="152"/>
      <c r="G231" s="152">
        <f t="shared" si="1"/>
        <v>0</v>
      </c>
      <c r="H231" s="153"/>
      <c r="I231" s="154"/>
      <c r="J231" s="147"/>
      <c r="K231" s="154"/>
    </row>
    <row r="232" ht="22.5" customHeight="1">
      <c r="A232" s="147"/>
      <c r="B232" s="148"/>
      <c r="C232" s="149"/>
      <c r="D232" s="150"/>
      <c r="E232" s="151"/>
      <c r="F232" s="152"/>
      <c r="G232" s="152">
        <f t="shared" si="1"/>
        <v>0</v>
      </c>
      <c r="H232" s="153"/>
      <c r="I232" s="154"/>
      <c r="J232" s="147"/>
      <c r="K232" s="154"/>
    </row>
    <row r="233" ht="22.5" customHeight="1">
      <c r="A233" s="147"/>
      <c r="B233" s="148"/>
      <c r="C233" s="149"/>
      <c r="D233" s="150"/>
      <c r="E233" s="151"/>
      <c r="F233" s="152"/>
      <c r="G233" s="152">
        <f t="shared" si="1"/>
        <v>0</v>
      </c>
      <c r="H233" s="153"/>
      <c r="I233" s="154"/>
      <c r="J233" s="147"/>
      <c r="K233" s="154"/>
    </row>
    <row r="234" ht="22.5" customHeight="1">
      <c r="A234" s="147"/>
      <c r="B234" s="148"/>
      <c r="C234" s="149"/>
      <c r="D234" s="150"/>
      <c r="E234" s="151"/>
      <c r="F234" s="152"/>
      <c r="G234" s="152">
        <f t="shared" si="1"/>
        <v>0</v>
      </c>
      <c r="H234" s="153"/>
      <c r="I234" s="154"/>
      <c r="J234" s="147"/>
      <c r="K234" s="154"/>
    </row>
    <row r="235" ht="22.5" customHeight="1">
      <c r="A235" s="147"/>
      <c r="B235" s="148"/>
      <c r="C235" s="149"/>
      <c r="D235" s="150"/>
      <c r="E235" s="151"/>
      <c r="F235" s="152"/>
      <c r="G235" s="152">
        <f t="shared" si="1"/>
        <v>0</v>
      </c>
      <c r="H235" s="153"/>
      <c r="I235" s="154"/>
      <c r="J235" s="147"/>
      <c r="K235" s="154"/>
    </row>
    <row r="236" ht="22.5" customHeight="1">
      <c r="A236" s="147"/>
      <c r="B236" s="148"/>
      <c r="C236" s="149"/>
      <c r="D236" s="150"/>
      <c r="E236" s="151"/>
      <c r="F236" s="152"/>
      <c r="G236" s="152">
        <f t="shared" si="1"/>
        <v>0</v>
      </c>
      <c r="H236" s="153"/>
      <c r="I236" s="154"/>
      <c r="J236" s="147"/>
      <c r="K236" s="154"/>
    </row>
    <row r="237" ht="22.5" customHeight="1">
      <c r="A237" s="147"/>
      <c r="B237" s="148"/>
      <c r="C237" s="149"/>
      <c r="D237" s="150"/>
      <c r="E237" s="151"/>
      <c r="F237" s="152"/>
      <c r="G237" s="152">
        <f t="shared" si="1"/>
        <v>0</v>
      </c>
      <c r="H237" s="153"/>
      <c r="I237" s="154"/>
      <c r="J237" s="147"/>
      <c r="K237" s="154"/>
    </row>
    <row r="238" ht="22.5" customHeight="1">
      <c r="A238" s="147"/>
      <c r="B238" s="148"/>
      <c r="C238" s="149"/>
      <c r="D238" s="150"/>
      <c r="E238" s="151"/>
      <c r="F238" s="152"/>
      <c r="G238" s="152">
        <f t="shared" si="1"/>
        <v>0</v>
      </c>
      <c r="H238" s="153"/>
      <c r="I238" s="154"/>
      <c r="J238" s="147"/>
      <c r="K238" s="154"/>
    </row>
    <row r="239" ht="22.5" customHeight="1">
      <c r="A239" s="147"/>
      <c r="B239" s="148"/>
      <c r="C239" s="149"/>
      <c r="D239" s="150"/>
      <c r="E239" s="151"/>
      <c r="F239" s="152"/>
      <c r="G239" s="152">
        <f t="shared" si="1"/>
        <v>0</v>
      </c>
      <c r="H239" s="153"/>
      <c r="I239" s="154"/>
      <c r="J239" s="147"/>
      <c r="K239" s="154"/>
    </row>
    <row r="240" ht="22.5" customHeight="1">
      <c r="A240" s="147"/>
      <c r="B240" s="148"/>
      <c r="C240" s="149"/>
      <c r="D240" s="150"/>
      <c r="E240" s="151"/>
      <c r="F240" s="152"/>
      <c r="G240" s="152">
        <f t="shared" si="1"/>
        <v>0</v>
      </c>
      <c r="H240" s="153"/>
      <c r="I240" s="154"/>
      <c r="J240" s="147"/>
      <c r="K240" s="154"/>
    </row>
    <row r="241" ht="22.5" customHeight="1">
      <c r="A241" s="147"/>
      <c r="B241" s="148"/>
      <c r="C241" s="149"/>
      <c r="D241" s="150"/>
      <c r="E241" s="151"/>
      <c r="F241" s="152"/>
      <c r="G241" s="152">
        <f t="shared" si="1"/>
        <v>0</v>
      </c>
      <c r="H241" s="153"/>
      <c r="I241" s="154"/>
      <c r="J241" s="147"/>
      <c r="K241" s="154"/>
    </row>
    <row r="242" ht="22.5" customHeight="1">
      <c r="A242" s="147"/>
      <c r="B242" s="148"/>
      <c r="C242" s="149"/>
      <c r="D242" s="150"/>
      <c r="E242" s="151"/>
      <c r="F242" s="152"/>
      <c r="G242" s="152">
        <f t="shared" si="1"/>
        <v>0</v>
      </c>
      <c r="H242" s="153"/>
      <c r="I242" s="154"/>
      <c r="J242" s="147"/>
      <c r="K242" s="154"/>
    </row>
    <row r="243" ht="22.5" customHeight="1">
      <c r="A243" s="147"/>
      <c r="B243" s="148"/>
      <c r="C243" s="149"/>
      <c r="D243" s="150"/>
      <c r="E243" s="151"/>
      <c r="F243" s="152"/>
      <c r="G243" s="152">
        <f t="shared" si="1"/>
        <v>0</v>
      </c>
      <c r="H243" s="153"/>
      <c r="I243" s="154"/>
      <c r="J243" s="147"/>
      <c r="K243" s="154"/>
    </row>
    <row r="244" ht="22.5" customHeight="1">
      <c r="A244" s="147"/>
      <c r="B244" s="148"/>
      <c r="C244" s="149"/>
      <c r="D244" s="150"/>
      <c r="E244" s="151"/>
      <c r="F244" s="152"/>
      <c r="G244" s="152">
        <f t="shared" si="1"/>
        <v>0</v>
      </c>
      <c r="H244" s="153"/>
      <c r="I244" s="154"/>
      <c r="J244" s="147"/>
      <c r="K244" s="154"/>
    </row>
    <row r="245" ht="22.5" customHeight="1">
      <c r="A245" s="147"/>
      <c r="B245" s="148"/>
      <c r="C245" s="149"/>
      <c r="D245" s="150"/>
      <c r="E245" s="151"/>
      <c r="F245" s="152"/>
      <c r="G245" s="152">
        <f t="shared" si="1"/>
        <v>0</v>
      </c>
      <c r="H245" s="153"/>
      <c r="I245" s="154"/>
      <c r="J245" s="147"/>
      <c r="K245" s="154"/>
    </row>
    <row r="246" ht="22.5" customHeight="1">
      <c r="A246" s="147"/>
      <c r="B246" s="148"/>
      <c r="C246" s="149"/>
      <c r="D246" s="150"/>
      <c r="E246" s="151"/>
      <c r="F246" s="152"/>
      <c r="G246" s="152">
        <f t="shared" si="1"/>
        <v>0</v>
      </c>
      <c r="H246" s="153"/>
      <c r="I246" s="154"/>
      <c r="J246" s="147"/>
      <c r="K246" s="154"/>
    </row>
    <row r="247" ht="22.5" customHeight="1">
      <c r="A247" s="147"/>
      <c r="B247" s="148"/>
      <c r="C247" s="149"/>
      <c r="D247" s="150"/>
      <c r="E247" s="151"/>
      <c r="F247" s="152"/>
      <c r="G247" s="152">
        <f t="shared" si="1"/>
        <v>0</v>
      </c>
      <c r="H247" s="153"/>
      <c r="I247" s="154"/>
      <c r="J247" s="147"/>
      <c r="K247" s="154"/>
    </row>
    <row r="248" ht="22.5" customHeight="1">
      <c r="A248" s="147"/>
      <c r="B248" s="148"/>
      <c r="C248" s="149"/>
      <c r="D248" s="150"/>
      <c r="E248" s="151"/>
      <c r="F248" s="152"/>
      <c r="G248" s="152">
        <f t="shared" si="1"/>
        <v>0</v>
      </c>
      <c r="H248" s="153"/>
      <c r="I248" s="154"/>
      <c r="J248" s="147"/>
      <c r="K248" s="154"/>
    </row>
    <row r="249" ht="22.5" customHeight="1">
      <c r="A249" s="147"/>
      <c r="B249" s="148"/>
      <c r="C249" s="149"/>
      <c r="D249" s="150"/>
      <c r="E249" s="151"/>
      <c r="F249" s="152"/>
      <c r="G249" s="152">
        <f t="shared" si="1"/>
        <v>0</v>
      </c>
      <c r="H249" s="153"/>
      <c r="I249" s="154"/>
      <c r="J249" s="147"/>
      <c r="K249" s="154"/>
    </row>
    <row r="250" ht="22.5" customHeight="1">
      <c r="A250" s="147"/>
      <c r="B250" s="148"/>
      <c r="C250" s="149"/>
      <c r="D250" s="150"/>
      <c r="E250" s="151"/>
      <c r="F250" s="152"/>
      <c r="G250" s="152">
        <f t="shared" si="1"/>
        <v>0</v>
      </c>
      <c r="H250" s="153"/>
      <c r="I250" s="154"/>
      <c r="J250" s="147"/>
      <c r="K250" s="154"/>
    </row>
    <row r="251" ht="22.5" customHeight="1">
      <c r="A251" s="147"/>
      <c r="B251" s="148"/>
      <c r="C251" s="149"/>
      <c r="D251" s="150"/>
      <c r="E251" s="151"/>
      <c r="F251" s="152"/>
      <c r="G251" s="152">
        <f t="shared" si="1"/>
        <v>0</v>
      </c>
      <c r="H251" s="153"/>
      <c r="I251" s="154"/>
      <c r="J251" s="147"/>
      <c r="K251" s="154"/>
    </row>
    <row r="252" ht="22.5" customHeight="1">
      <c r="A252" s="147"/>
      <c r="B252" s="148"/>
      <c r="C252" s="149"/>
      <c r="D252" s="150"/>
      <c r="E252" s="151"/>
      <c r="F252" s="152"/>
      <c r="G252" s="152">
        <f t="shared" si="1"/>
        <v>0</v>
      </c>
      <c r="H252" s="153"/>
      <c r="I252" s="154"/>
      <c r="J252" s="147"/>
      <c r="K252" s="154"/>
    </row>
    <row r="253" ht="22.5" customHeight="1">
      <c r="A253" s="147"/>
      <c r="B253" s="148"/>
      <c r="C253" s="149"/>
      <c r="D253" s="150"/>
      <c r="E253" s="151"/>
      <c r="F253" s="152"/>
      <c r="G253" s="152">
        <f t="shared" si="1"/>
        <v>0</v>
      </c>
      <c r="H253" s="153"/>
      <c r="I253" s="154"/>
      <c r="J253" s="147"/>
      <c r="K253" s="154"/>
    </row>
    <row r="254" ht="22.5" customHeight="1">
      <c r="A254" s="147"/>
      <c r="B254" s="148"/>
      <c r="C254" s="149"/>
      <c r="D254" s="150"/>
      <c r="E254" s="151"/>
      <c r="F254" s="152"/>
      <c r="G254" s="152">
        <f t="shared" si="1"/>
        <v>0</v>
      </c>
      <c r="H254" s="153"/>
      <c r="I254" s="154"/>
      <c r="J254" s="147"/>
      <c r="K254" s="154"/>
    </row>
    <row r="255" ht="22.5" customHeight="1">
      <c r="A255" s="147"/>
      <c r="B255" s="148"/>
      <c r="C255" s="149"/>
      <c r="D255" s="150"/>
      <c r="E255" s="151"/>
      <c r="F255" s="152"/>
      <c r="G255" s="152">
        <f t="shared" si="1"/>
        <v>0</v>
      </c>
      <c r="H255" s="153"/>
      <c r="I255" s="154"/>
      <c r="J255" s="147"/>
      <c r="K255" s="154"/>
    </row>
    <row r="256" ht="22.5" customHeight="1">
      <c r="A256" s="147"/>
      <c r="B256" s="148"/>
      <c r="C256" s="149"/>
      <c r="D256" s="150"/>
      <c r="E256" s="151"/>
      <c r="F256" s="152"/>
      <c r="G256" s="152">
        <f t="shared" si="1"/>
        <v>0</v>
      </c>
      <c r="H256" s="153"/>
      <c r="I256" s="154"/>
      <c r="J256" s="147"/>
      <c r="K256" s="154"/>
    </row>
    <row r="257" ht="22.5" customHeight="1">
      <c r="A257" s="147"/>
      <c r="B257" s="148"/>
      <c r="C257" s="149"/>
      <c r="D257" s="150"/>
      <c r="E257" s="151"/>
      <c r="F257" s="152"/>
      <c r="G257" s="152">
        <f t="shared" si="1"/>
        <v>0</v>
      </c>
      <c r="H257" s="153"/>
      <c r="I257" s="154"/>
      <c r="J257" s="147"/>
      <c r="K257" s="154"/>
    </row>
    <row r="258" ht="22.5" customHeight="1">
      <c r="A258" s="147"/>
      <c r="B258" s="148"/>
      <c r="C258" s="149"/>
      <c r="D258" s="150"/>
      <c r="E258" s="151"/>
      <c r="F258" s="152"/>
      <c r="G258" s="152">
        <f t="shared" si="1"/>
        <v>0</v>
      </c>
      <c r="H258" s="153"/>
      <c r="I258" s="154"/>
      <c r="J258" s="147"/>
      <c r="K258" s="154"/>
    </row>
    <row r="259" ht="22.5" customHeight="1">
      <c r="A259" s="147"/>
      <c r="B259" s="148"/>
      <c r="C259" s="149"/>
      <c r="D259" s="150"/>
      <c r="E259" s="151"/>
      <c r="F259" s="152"/>
      <c r="G259" s="152">
        <f t="shared" si="1"/>
        <v>0</v>
      </c>
      <c r="H259" s="153"/>
      <c r="I259" s="154"/>
      <c r="J259" s="147"/>
      <c r="K259" s="154"/>
    </row>
    <row r="260" ht="22.5" customHeight="1">
      <c r="A260" s="147"/>
      <c r="B260" s="148"/>
      <c r="C260" s="149"/>
      <c r="D260" s="150"/>
      <c r="E260" s="151"/>
      <c r="F260" s="152"/>
      <c r="G260" s="152">
        <f t="shared" si="1"/>
        <v>0</v>
      </c>
      <c r="H260" s="153"/>
      <c r="I260" s="154"/>
      <c r="J260" s="147"/>
      <c r="K260" s="154"/>
    </row>
    <row r="261" ht="22.5" customHeight="1">
      <c r="A261" s="147"/>
      <c r="B261" s="148"/>
      <c r="C261" s="149"/>
      <c r="D261" s="150"/>
      <c r="E261" s="151"/>
      <c r="F261" s="152"/>
      <c r="G261" s="152">
        <f t="shared" si="1"/>
        <v>0</v>
      </c>
      <c r="H261" s="153"/>
      <c r="I261" s="154"/>
      <c r="J261" s="147"/>
      <c r="K261" s="154"/>
    </row>
    <row r="262" ht="22.5" customHeight="1">
      <c r="A262" s="147"/>
      <c r="B262" s="148"/>
      <c r="C262" s="149"/>
      <c r="D262" s="150"/>
      <c r="E262" s="151"/>
      <c r="F262" s="152"/>
      <c r="G262" s="152">
        <f t="shared" si="1"/>
        <v>0</v>
      </c>
      <c r="H262" s="153"/>
      <c r="I262" s="154"/>
      <c r="J262" s="147"/>
      <c r="K262" s="154"/>
    </row>
    <row r="263" ht="22.5" customHeight="1">
      <c r="A263" s="147"/>
      <c r="B263" s="148"/>
      <c r="C263" s="149"/>
      <c r="D263" s="150"/>
      <c r="E263" s="151"/>
      <c r="F263" s="152"/>
      <c r="G263" s="152">
        <f t="shared" si="1"/>
        <v>0</v>
      </c>
      <c r="H263" s="153"/>
      <c r="I263" s="154"/>
      <c r="J263" s="147"/>
      <c r="K263" s="154"/>
    </row>
    <row r="264" ht="22.5" customHeight="1">
      <c r="A264" s="147"/>
      <c r="B264" s="148"/>
      <c r="C264" s="149"/>
      <c r="D264" s="150"/>
      <c r="E264" s="151"/>
      <c r="F264" s="152"/>
      <c r="G264" s="152">
        <f t="shared" si="1"/>
        <v>0</v>
      </c>
      <c r="H264" s="153"/>
      <c r="I264" s="154"/>
      <c r="J264" s="147"/>
      <c r="K264" s="154"/>
    </row>
    <row r="265" ht="22.5" customHeight="1">
      <c r="A265" s="147"/>
      <c r="B265" s="148"/>
      <c r="C265" s="149"/>
      <c r="D265" s="150"/>
      <c r="E265" s="151"/>
      <c r="F265" s="152"/>
      <c r="G265" s="152">
        <f t="shared" si="1"/>
        <v>0</v>
      </c>
      <c r="H265" s="153"/>
      <c r="I265" s="154"/>
      <c r="J265" s="147"/>
      <c r="K265" s="154"/>
    </row>
    <row r="266" ht="22.5" customHeight="1">
      <c r="A266" s="147"/>
      <c r="B266" s="148"/>
      <c r="C266" s="149"/>
      <c r="D266" s="150"/>
      <c r="E266" s="151"/>
      <c r="F266" s="152"/>
      <c r="G266" s="152">
        <f t="shared" si="1"/>
        <v>0</v>
      </c>
      <c r="H266" s="153"/>
      <c r="I266" s="154"/>
      <c r="J266" s="147"/>
      <c r="K266" s="154"/>
    </row>
    <row r="267" ht="22.5" customHeight="1">
      <c r="A267" s="147"/>
      <c r="B267" s="148"/>
      <c r="C267" s="149"/>
      <c r="D267" s="150"/>
      <c r="E267" s="151"/>
      <c r="F267" s="152"/>
      <c r="G267" s="152">
        <f t="shared" si="1"/>
        <v>0</v>
      </c>
      <c r="H267" s="153"/>
      <c r="I267" s="154"/>
      <c r="J267" s="147"/>
      <c r="K267" s="154"/>
    </row>
    <row r="268" ht="22.5" customHeight="1">
      <c r="A268" s="147"/>
      <c r="B268" s="148"/>
      <c r="C268" s="149"/>
      <c r="D268" s="150"/>
      <c r="E268" s="151"/>
      <c r="F268" s="152"/>
      <c r="G268" s="152">
        <f t="shared" si="1"/>
        <v>0</v>
      </c>
      <c r="H268" s="153"/>
      <c r="I268" s="154"/>
      <c r="J268" s="147"/>
      <c r="K268" s="154"/>
    </row>
    <row r="269" ht="22.5" customHeight="1">
      <c r="A269" s="147"/>
      <c r="B269" s="148"/>
      <c r="C269" s="149"/>
      <c r="D269" s="150"/>
      <c r="E269" s="151"/>
      <c r="F269" s="152"/>
      <c r="G269" s="152">
        <f t="shared" si="1"/>
        <v>0</v>
      </c>
      <c r="H269" s="153"/>
      <c r="I269" s="154"/>
      <c r="J269" s="147"/>
      <c r="K269" s="154"/>
    </row>
    <row r="270" ht="22.5" customHeight="1">
      <c r="A270" s="147"/>
      <c r="B270" s="148"/>
      <c r="C270" s="149"/>
      <c r="D270" s="150"/>
      <c r="E270" s="151"/>
      <c r="F270" s="152"/>
      <c r="G270" s="152">
        <f t="shared" si="1"/>
        <v>0</v>
      </c>
      <c r="H270" s="153"/>
      <c r="I270" s="154"/>
      <c r="J270" s="147"/>
      <c r="K270" s="154"/>
    </row>
    <row r="271" ht="22.5" customHeight="1">
      <c r="A271" s="147"/>
      <c r="B271" s="148"/>
      <c r="C271" s="149"/>
      <c r="D271" s="150"/>
      <c r="E271" s="151"/>
      <c r="F271" s="152"/>
      <c r="G271" s="152">
        <f t="shared" si="1"/>
        <v>0</v>
      </c>
      <c r="H271" s="153"/>
      <c r="I271" s="154"/>
      <c r="J271" s="147"/>
      <c r="K271" s="154"/>
    </row>
    <row r="272" ht="22.5" customHeight="1">
      <c r="A272" s="147"/>
      <c r="B272" s="148"/>
      <c r="C272" s="149"/>
      <c r="D272" s="150"/>
      <c r="E272" s="151"/>
      <c r="F272" s="152"/>
      <c r="G272" s="152">
        <f t="shared" si="1"/>
        <v>0</v>
      </c>
      <c r="H272" s="153"/>
      <c r="I272" s="154"/>
      <c r="J272" s="147"/>
      <c r="K272" s="154"/>
    </row>
    <row r="273" ht="22.5" customHeight="1">
      <c r="A273" s="147"/>
      <c r="B273" s="148"/>
      <c r="C273" s="149"/>
      <c r="D273" s="150"/>
      <c r="E273" s="151"/>
      <c r="F273" s="152"/>
      <c r="G273" s="152">
        <f t="shared" si="1"/>
        <v>0</v>
      </c>
      <c r="H273" s="153"/>
      <c r="I273" s="154"/>
      <c r="J273" s="147"/>
      <c r="K273" s="154"/>
    </row>
    <row r="274" ht="22.5" customHeight="1">
      <c r="A274" s="147"/>
      <c r="B274" s="148"/>
      <c r="C274" s="149"/>
      <c r="D274" s="150"/>
      <c r="E274" s="151"/>
      <c r="F274" s="152"/>
      <c r="G274" s="152">
        <f t="shared" si="1"/>
        <v>0</v>
      </c>
      <c r="H274" s="153"/>
      <c r="I274" s="154"/>
      <c r="J274" s="147"/>
      <c r="K274" s="154"/>
    </row>
    <row r="275" ht="22.5" customHeight="1">
      <c r="A275" s="147"/>
      <c r="B275" s="148"/>
      <c r="C275" s="149"/>
      <c r="D275" s="150"/>
      <c r="E275" s="151"/>
      <c r="F275" s="152"/>
      <c r="G275" s="152">
        <f t="shared" si="1"/>
        <v>0</v>
      </c>
      <c r="H275" s="153"/>
      <c r="I275" s="154"/>
      <c r="J275" s="147"/>
      <c r="K275" s="154"/>
    </row>
    <row r="276" ht="22.5" customHeight="1">
      <c r="A276" s="147"/>
      <c r="B276" s="148"/>
      <c r="C276" s="149"/>
      <c r="D276" s="150"/>
      <c r="E276" s="151"/>
      <c r="F276" s="152"/>
      <c r="G276" s="152">
        <f t="shared" si="1"/>
        <v>0</v>
      </c>
      <c r="H276" s="153"/>
      <c r="I276" s="154"/>
      <c r="J276" s="147"/>
      <c r="K276" s="154"/>
    </row>
    <row r="277" ht="22.5" customHeight="1">
      <c r="A277" s="147"/>
      <c r="B277" s="148"/>
      <c r="C277" s="149"/>
      <c r="D277" s="150"/>
      <c r="E277" s="151"/>
      <c r="F277" s="152"/>
      <c r="G277" s="152">
        <f t="shared" si="1"/>
        <v>0</v>
      </c>
      <c r="H277" s="153"/>
      <c r="I277" s="154"/>
      <c r="J277" s="147"/>
      <c r="K277" s="154"/>
    </row>
    <row r="278" ht="22.5" customHeight="1">
      <c r="A278" s="147"/>
      <c r="B278" s="148"/>
      <c r="C278" s="149"/>
      <c r="D278" s="150"/>
      <c r="E278" s="151"/>
      <c r="F278" s="152"/>
      <c r="G278" s="152">
        <f t="shared" si="1"/>
        <v>0</v>
      </c>
      <c r="H278" s="153"/>
      <c r="I278" s="154"/>
      <c r="J278" s="147"/>
      <c r="K278" s="154"/>
    </row>
    <row r="279" ht="22.5" customHeight="1">
      <c r="A279" s="147"/>
      <c r="B279" s="148"/>
      <c r="C279" s="149"/>
      <c r="D279" s="150"/>
      <c r="E279" s="151"/>
      <c r="F279" s="152"/>
      <c r="G279" s="152">
        <f t="shared" si="1"/>
        <v>0</v>
      </c>
      <c r="H279" s="153"/>
      <c r="I279" s="154"/>
      <c r="J279" s="147"/>
      <c r="K279" s="154"/>
    </row>
    <row r="280" ht="22.5" customHeight="1">
      <c r="A280" s="147"/>
      <c r="B280" s="148"/>
      <c r="C280" s="149"/>
      <c r="D280" s="150"/>
      <c r="E280" s="151"/>
      <c r="F280" s="152"/>
      <c r="G280" s="152">
        <f t="shared" si="1"/>
        <v>0</v>
      </c>
      <c r="H280" s="153"/>
      <c r="I280" s="154"/>
      <c r="J280" s="147"/>
      <c r="K280" s="154"/>
    </row>
    <row r="281" ht="22.5" customHeight="1">
      <c r="A281" s="147"/>
      <c r="B281" s="148"/>
      <c r="C281" s="149"/>
      <c r="D281" s="150"/>
      <c r="E281" s="151"/>
      <c r="F281" s="152"/>
      <c r="G281" s="152">
        <f t="shared" si="1"/>
        <v>0</v>
      </c>
      <c r="H281" s="153"/>
      <c r="I281" s="154"/>
      <c r="J281" s="147"/>
      <c r="K281" s="154"/>
    </row>
    <row r="282" ht="22.5" customHeight="1">
      <c r="A282" s="147"/>
      <c r="B282" s="148"/>
      <c r="C282" s="149"/>
      <c r="D282" s="150"/>
      <c r="E282" s="151"/>
      <c r="F282" s="152"/>
      <c r="G282" s="152">
        <f t="shared" si="1"/>
        <v>0</v>
      </c>
      <c r="H282" s="153"/>
      <c r="I282" s="154"/>
      <c r="J282" s="147"/>
      <c r="K282" s="154"/>
    </row>
    <row r="283" ht="22.5" customHeight="1">
      <c r="A283" s="147"/>
      <c r="B283" s="148"/>
      <c r="C283" s="149"/>
      <c r="D283" s="150"/>
      <c r="E283" s="151"/>
      <c r="F283" s="152"/>
      <c r="G283" s="152">
        <f t="shared" si="1"/>
        <v>0</v>
      </c>
      <c r="H283" s="153"/>
      <c r="I283" s="154"/>
      <c r="J283" s="147"/>
      <c r="K283" s="154"/>
    </row>
    <row r="284" ht="22.5" customHeight="1">
      <c r="A284" s="147"/>
      <c r="B284" s="148"/>
      <c r="C284" s="149"/>
      <c r="D284" s="150"/>
      <c r="E284" s="151"/>
      <c r="F284" s="152"/>
      <c r="G284" s="152">
        <f t="shared" si="1"/>
        <v>0</v>
      </c>
      <c r="H284" s="153"/>
      <c r="I284" s="154"/>
      <c r="J284" s="147"/>
      <c r="K284" s="154"/>
    </row>
    <row r="285" ht="22.5" customHeight="1">
      <c r="A285" s="147"/>
      <c r="B285" s="148"/>
      <c r="C285" s="149"/>
      <c r="D285" s="150"/>
      <c r="E285" s="151"/>
      <c r="F285" s="152"/>
      <c r="G285" s="152">
        <f t="shared" si="1"/>
        <v>0</v>
      </c>
      <c r="H285" s="153"/>
      <c r="I285" s="154"/>
      <c r="J285" s="147"/>
      <c r="K285" s="154"/>
    </row>
    <row r="286" ht="22.5" customHeight="1">
      <c r="A286" s="147"/>
      <c r="B286" s="148"/>
      <c r="C286" s="149"/>
      <c r="D286" s="150"/>
      <c r="E286" s="151"/>
      <c r="F286" s="152"/>
      <c r="G286" s="152">
        <f t="shared" si="1"/>
        <v>0</v>
      </c>
      <c r="H286" s="153"/>
      <c r="I286" s="154"/>
      <c r="J286" s="147"/>
      <c r="K286" s="154"/>
    </row>
    <row r="287" ht="22.5" customHeight="1">
      <c r="A287" s="147"/>
      <c r="B287" s="148"/>
      <c r="C287" s="149"/>
      <c r="D287" s="150"/>
      <c r="E287" s="151"/>
      <c r="F287" s="152"/>
      <c r="G287" s="152">
        <f t="shared" si="1"/>
        <v>0</v>
      </c>
      <c r="H287" s="153"/>
      <c r="I287" s="154"/>
      <c r="J287" s="147"/>
      <c r="K287" s="154"/>
    </row>
    <row r="288" ht="22.5" customHeight="1">
      <c r="A288" s="147"/>
      <c r="B288" s="148"/>
      <c r="C288" s="149"/>
      <c r="D288" s="150"/>
      <c r="E288" s="151"/>
      <c r="F288" s="152"/>
      <c r="G288" s="152">
        <f t="shared" si="1"/>
        <v>0</v>
      </c>
      <c r="H288" s="153"/>
      <c r="I288" s="154"/>
      <c r="J288" s="147"/>
      <c r="K288" s="154"/>
    </row>
    <row r="289" ht="22.5" customHeight="1">
      <c r="A289" s="147"/>
      <c r="B289" s="148"/>
      <c r="C289" s="149"/>
      <c r="D289" s="150"/>
      <c r="E289" s="151"/>
      <c r="F289" s="152"/>
      <c r="G289" s="152">
        <f t="shared" si="1"/>
        <v>0</v>
      </c>
      <c r="H289" s="153"/>
      <c r="I289" s="154"/>
      <c r="J289" s="147"/>
      <c r="K289" s="154"/>
    </row>
    <row r="290" ht="22.5" customHeight="1">
      <c r="A290" s="147"/>
      <c r="B290" s="148"/>
      <c r="C290" s="149"/>
      <c r="D290" s="150"/>
      <c r="E290" s="151"/>
      <c r="F290" s="152"/>
      <c r="G290" s="152">
        <f t="shared" si="1"/>
        <v>0</v>
      </c>
      <c r="H290" s="153"/>
      <c r="I290" s="154"/>
      <c r="J290" s="147"/>
      <c r="K290" s="154"/>
    </row>
    <row r="291" ht="22.5" customHeight="1">
      <c r="A291" s="147"/>
      <c r="B291" s="148"/>
      <c r="C291" s="149"/>
      <c r="D291" s="150"/>
      <c r="E291" s="151"/>
      <c r="F291" s="152"/>
      <c r="G291" s="152">
        <f t="shared" si="1"/>
        <v>0</v>
      </c>
      <c r="H291" s="153"/>
      <c r="I291" s="154"/>
      <c r="J291" s="147"/>
      <c r="K291" s="154"/>
    </row>
    <row r="292" ht="22.5" customHeight="1">
      <c r="A292" s="147"/>
      <c r="B292" s="148"/>
      <c r="C292" s="149"/>
      <c r="D292" s="150"/>
      <c r="E292" s="151"/>
      <c r="F292" s="152"/>
      <c r="G292" s="152">
        <f t="shared" si="1"/>
        <v>0</v>
      </c>
      <c r="H292" s="153"/>
      <c r="I292" s="154"/>
      <c r="J292" s="147"/>
      <c r="K292" s="154"/>
    </row>
    <row r="293" ht="22.5" customHeight="1">
      <c r="A293" s="147"/>
      <c r="B293" s="148"/>
      <c r="C293" s="149"/>
      <c r="D293" s="150"/>
      <c r="E293" s="151"/>
      <c r="F293" s="152"/>
      <c r="G293" s="152">
        <f t="shared" si="1"/>
        <v>0</v>
      </c>
      <c r="H293" s="153"/>
      <c r="I293" s="154"/>
      <c r="J293" s="147"/>
      <c r="K293" s="154"/>
    </row>
    <row r="294" ht="22.5" customHeight="1">
      <c r="A294" s="147"/>
      <c r="B294" s="148"/>
      <c r="C294" s="149"/>
      <c r="D294" s="150"/>
      <c r="E294" s="151"/>
      <c r="F294" s="152"/>
      <c r="G294" s="152">
        <f t="shared" si="1"/>
        <v>0</v>
      </c>
      <c r="H294" s="153"/>
      <c r="I294" s="154"/>
      <c r="J294" s="147"/>
      <c r="K294" s="154"/>
    </row>
    <row r="295" ht="22.5" customHeight="1">
      <c r="A295" s="147"/>
      <c r="B295" s="148"/>
      <c r="C295" s="149"/>
      <c r="D295" s="150"/>
      <c r="E295" s="151"/>
      <c r="F295" s="152"/>
      <c r="G295" s="152">
        <f t="shared" si="1"/>
        <v>0</v>
      </c>
      <c r="H295" s="153"/>
      <c r="I295" s="154"/>
      <c r="J295" s="147"/>
      <c r="K295" s="154"/>
    </row>
    <row r="296" ht="22.5" customHeight="1">
      <c r="A296" s="147"/>
      <c r="B296" s="148"/>
      <c r="C296" s="149"/>
      <c r="D296" s="150"/>
      <c r="E296" s="151"/>
      <c r="F296" s="152"/>
      <c r="G296" s="152">
        <f t="shared" si="1"/>
        <v>0</v>
      </c>
      <c r="H296" s="153"/>
      <c r="I296" s="154"/>
      <c r="J296" s="147"/>
      <c r="K296" s="154"/>
    </row>
    <row r="297" ht="22.5" customHeight="1">
      <c r="A297" s="147"/>
      <c r="B297" s="148"/>
      <c r="C297" s="149"/>
      <c r="D297" s="150"/>
      <c r="E297" s="151"/>
      <c r="F297" s="152"/>
      <c r="G297" s="152">
        <f t="shared" si="1"/>
        <v>0</v>
      </c>
      <c r="H297" s="153"/>
      <c r="I297" s="154"/>
      <c r="J297" s="147"/>
      <c r="K297" s="154"/>
    </row>
    <row r="298" ht="22.5" customHeight="1">
      <c r="A298" s="147"/>
      <c r="B298" s="148"/>
      <c r="C298" s="149"/>
      <c r="D298" s="150"/>
      <c r="E298" s="151"/>
      <c r="F298" s="152"/>
      <c r="G298" s="152">
        <f t="shared" si="1"/>
        <v>0</v>
      </c>
      <c r="H298" s="153"/>
      <c r="I298" s="154"/>
      <c r="J298" s="147"/>
      <c r="K298" s="154"/>
    </row>
    <row r="299" ht="22.5" customHeight="1">
      <c r="A299" s="147"/>
      <c r="B299" s="148"/>
      <c r="C299" s="149"/>
      <c r="D299" s="150"/>
      <c r="E299" s="151"/>
      <c r="F299" s="152"/>
      <c r="G299" s="152">
        <f t="shared" si="1"/>
        <v>0</v>
      </c>
      <c r="H299" s="153"/>
      <c r="I299" s="154"/>
      <c r="J299" s="147"/>
      <c r="K299" s="154"/>
    </row>
    <row r="300" ht="22.5" customHeight="1">
      <c r="A300" s="147"/>
      <c r="B300" s="148"/>
      <c r="C300" s="149"/>
      <c r="D300" s="150"/>
      <c r="E300" s="151"/>
      <c r="F300" s="152"/>
      <c r="G300" s="152">
        <f t="shared" si="1"/>
        <v>0</v>
      </c>
      <c r="H300" s="153"/>
      <c r="I300" s="154"/>
      <c r="J300" s="147"/>
      <c r="K300" s="154"/>
    </row>
    <row r="301" ht="22.5" customHeight="1">
      <c r="A301" s="147"/>
      <c r="B301" s="148"/>
      <c r="C301" s="149"/>
      <c r="D301" s="150"/>
      <c r="E301" s="151"/>
      <c r="F301" s="152"/>
      <c r="G301" s="152">
        <f t="shared" si="1"/>
        <v>0</v>
      </c>
      <c r="H301" s="153"/>
      <c r="I301" s="154"/>
      <c r="J301" s="147"/>
      <c r="K301" s="154"/>
    </row>
    <row r="302" ht="22.5" customHeight="1">
      <c r="A302" s="147"/>
      <c r="B302" s="148"/>
      <c r="C302" s="149"/>
      <c r="D302" s="150"/>
      <c r="E302" s="151"/>
      <c r="F302" s="152"/>
      <c r="G302" s="152">
        <f t="shared" si="1"/>
        <v>0</v>
      </c>
      <c r="H302" s="153"/>
      <c r="I302" s="154"/>
      <c r="J302" s="147"/>
      <c r="K302" s="154"/>
    </row>
    <row r="303" ht="22.5" customHeight="1">
      <c r="A303" s="147"/>
      <c r="B303" s="148"/>
      <c r="C303" s="149"/>
      <c r="D303" s="150"/>
      <c r="E303" s="151"/>
      <c r="F303" s="152"/>
      <c r="G303" s="152">
        <f t="shared" si="1"/>
        <v>0</v>
      </c>
      <c r="H303" s="153"/>
      <c r="I303" s="154"/>
      <c r="J303" s="147"/>
      <c r="K303" s="154"/>
    </row>
    <row r="304" ht="22.5" customHeight="1">
      <c r="A304" s="147"/>
      <c r="B304" s="148"/>
      <c r="C304" s="149"/>
      <c r="D304" s="150"/>
      <c r="E304" s="151"/>
      <c r="F304" s="152"/>
      <c r="G304" s="152">
        <f t="shared" si="1"/>
        <v>0</v>
      </c>
      <c r="H304" s="153"/>
      <c r="I304" s="154"/>
      <c r="J304" s="147"/>
      <c r="K304" s="154"/>
    </row>
    <row r="305" ht="22.5" customHeight="1">
      <c r="A305" s="147"/>
      <c r="B305" s="148"/>
      <c r="C305" s="149"/>
      <c r="D305" s="150"/>
      <c r="E305" s="151"/>
      <c r="F305" s="152"/>
      <c r="G305" s="152">
        <f t="shared" si="1"/>
        <v>0</v>
      </c>
      <c r="H305" s="153"/>
      <c r="I305" s="154"/>
      <c r="J305" s="147"/>
      <c r="K305" s="154"/>
    </row>
    <row r="306" ht="22.5" customHeight="1">
      <c r="A306" s="147"/>
      <c r="B306" s="148"/>
      <c r="C306" s="149"/>
      <c r="D306" s="150"/>
      <c r="E306" s="151"/>
      <c r="F306" s="152"/>
      <c r="G306" s="152">
        <f t="shared" si="1"/>
        <v>0</v>
      </c>
      <c r="H306" s="153"/>
      <c r="I306" s="154"/>
      <c r="J306" s="147"/>
      <c r="K306" s="154"/>
    </row>
    <row r="307" ht="22.5" customHeight="1">
      <c r="A307" s="147"/>
      <c r="B307" s="148"/>
      <c r="C307" s="149"/>
      <c r="D307" s="150"/>
      <c r="E307" s="151"/>
      <c r="F307" s="152"/>
      <c r="G307" s="152">
        <f t="shared" si="1"/>
        <v>0</v>
      </c>
      <c r="H307" s="153"/>
      <c r="I307" s="154"/>
      <c r="J307" s="147"/>
      <c r="K307" s="154"/>
    </row>
    <row r="308" ht="22.5" customHeight="1">
      <c r="A308" s="147"/>
      <c r="B308" s="148"/>
      <c r="C308" s="149"/>
      <c r="D308" s="150"/>
      <c r="E308" s="151"/>
      <c r="F308" s="152"/>
      <c r="G308" s="152">
        <f t="shared" si="1"/>
        <v>0</v>
      </c>
      <c r="H308" s="153"/>
      <c r="I308" s="154"/>
      <c r="J308" s="147"/>
      <c r="K308" s="154"/>
    </row>
    <row r="309" ht="22.5" customHeight="1">
      <c r="A309" s="147"/>
      <c r="B309" s="148"/>
      <c r="C309" s="149"/>
      <c r="D309" s="150"/>
      <c r="E309" s="151"/>
      <c r="F309" s="152"/>
      <c r="G309" s="152">
        <f t="shared" si="1"/>
        <v>0</v>
      </c>
      <c r="H309" s="153"/>
      <c r="I309" s="154"/>
      <c r="J309" s="147"/>
      <c r="K309" s="154"/>
    </row>
    <row r="310" ht="22.5" customHeight="1">
      <c r="A310" s="147"/>
      <c r="B310" s="148"/>
      <c r="C310" s="149"/>
      <c r="D310" s="150"/>
      <c r="E310" s="151"/>
      <c r="F310" s="152"/>
      <c r="G310" s="152">
        <f t="shared" si="1"/>
        <v>0</v>
      </c>
      <c r="H310" s="153"/>
      <c r="I310" s="154"/>
      <c r="J310" s="147"/>
      <c r="K310" s="154"/>
    </row>
    <row r="311" ht="22.5" customHeight="1">
      <c r="A311" s="147"/>
      <c r="B311" s="148"/>
      <c r="C311" s="149"/>
      <c r="D311" s="150"/>
      <c r="E311" s="151"/>
      <c r="F311" s="152"/>
      <c r="G311" s="152">
        <f t="shared" si="1"/>
        <v>0</v>
      </c>
      <c r="H311" s="153"/>
      <c r="I311" s="154"/>
      <c r="J311" s="147"/>
      <c r="K311" s="154"/>
    </row>
    <row r="312" ht="22.5" customHeight="1">
      <c r="A312" s="147"/>
      <c r="B312" s="148"/>
      <c r="C312" s="149"/>
      <c r="D312" s="150"/>
      <c r="E312" s="151"/>
      <c r="F312" s="152"/>
      <c r="G312" s="152">
        <f t="shared" si="1"/>
        <v>0</v>
      </c>
      <c r="H312" s="153"/>
      <c r="I312" s="154"/>
      <c r="J312" s="147"/>
      <c r="K312" s="154"/>
    </row>
    <row r="313" ht="22.5" customHeight="1">
      <c r="A313" s="147"/>
      <c r="B313" s="148"/>
      <c r="C313" s="149"/>
      <c r="D313" s="150"/>
      <c r="E313" s="151"/>
      <c r="F313" s="152"/>
      <c r="G313" s="152">
        <f t="shared" si="1"/>
        <v>0</v>
      </c>
      <c r="H313" s="153"/>
      <c r="I313" s="154"/>
      <c r="J313" s="147"/>
      <c r="K313" s="154"/>
    </row>
    <row r="314" ht="22.5" customHeight="1">
      <c r="A314" s="147"/>
      <c r="B314" s="148"/>
      <c r="C314" s="149"/>
      <c r="D314" s="150"/>
      <c r="E314" s="151"/>
      <c r="F314" s="152"/>
      <c r="G314" s="152">
        <f t="shared" si="1"/>
        <v>0</v>
      </c>
      <c r="H314" s="153"/>
      <c r="I314" s="154"/>
      <c r="J314" s="147"/>
      <c r="K314" s="154"/>
    </row>
    <row r="315" ht="22.5" customHeight="1">
      <c r="A315" s="147"/>
      <c r="B315" s="148"/>
      <c r="C315" s="149"/>
      <c r="D315" s="150"/>
      <c r="E315" s="151"/>
      <c r="F315" s="152"/>
      <c r="G315" s="152">
        <f t="shared" si="1"/>
        <v>0</v>
      </c>
      <c r="H315" s="153"/>
      <c r="I315" s="154"/>
      <c r="J315" s="147"/>
      <c r="K315" s="154"/>
    </row>
    <row r="316" ht="22.5" customHeight="1">
      <c r="A316" s="147"/>
      <c r="B316" s="148"/>
      <c r="C316" s="149"/>
      <c r="D316" s="150"/>
      <c r="E316" s="151"/>
      <c r="F316" s="152"/>
      <c r="G316" s="152">
        <f t="shared" si="1"/>
        <v>0</v>
      </c>
      <c r="H316" s="153"/>
      <c r="I316" s="154"/>
      <c r="J316" s="147"/>
      <c r="K316" s="154"/>
    </row>
    <row r="317" ht="22.5" customHeight="1">
      <c r="A317" s="147"/>
      <c r="B317" s="148"/>
      <c r="C317" s="149"/>
      <c r="D317" s="150"/>
      <c r="E317" s="151"/>
      <c r="F317" s="152"/>
      <c r="G317" s="152">
        <f t="shared" si="1"/>
        <v>0</v>
      </c>
      <c r="H317" s="153"/>
      <c r="I317" s="154"/>
      <c r="J317" s="147"/>
      <c r="K317" s="154"/>
    </row>
    <row r="318" ht="22.5" customHeight="1">
      <c r="A318" s="147"/>
      <c r="B318" s="148"/>
      <c r="C318" s="149"/>
      <c r="D318" s="150"/>
      <c r="E318" s="151"/>
      <c r="F318" s="152"/>
      <c r="G318" s="152">
        <f t="shared" si="1"/>
        <v>0</v>
      </c>
      <c r="H318" s="153"/>
      <c r="I318" s="154"/>
      <c r="J318" s="147"/>
      <c r="K318" s="154"/>
    </row>
    <row r="319" ht="22.5" customHeight="1">
      <c r="A319" s="147"/>
      <c r="B319" s="148"/>
      <c r="C319" s="149"/>
      <c r="D319" s="150"/>
      <c r="E319" s="151"/>
      <c r="F319" s="152"/>
      <c r="G319" s="152">
        <f t="shared" si="1"/>
        <v>0</v>
      </c>
      <c r="H319" s="153"/>
      <c r="I319" s="154"/>
      <c r="J319" s="147"/>
      <c r="K319" s="154"/>
    </row>
    <row r="320" ht="22.5" customHeight="1">
      <c r="A320" s="147"/>
      <c r="B320" s="148"/>
      <c r="C320" s="149"/>
      <c r="D320" s="150"/>
      <c r="E320" s="151"/>
      <c r="F320" s="152"/>
      <c r="G320" s="152">
        <f t="shared" si="1"/>
        <v>0</v>
      </c>
      <c r="H320" s="153"/>
      <c r="I320" s="154"/>
      <c r="J320" s="147"/>
      <c r="K320" s="154"/>
    </row>
    <row r="321" ht="22.5" customHeight="1">
      <c r="A321" s="147"/>
      <c r="B321" s="148"/>
      <c r="C321" s="149"/>
      <c r="D321" s="150"/>
      <c r="E321" s="151"/>
      <c r="F321" s="152"/>
      <c r="G321" s="152">
        <f t="shared" si="1"/>
        <v>0</v>
      </c>
      <c r="H321" s="153"/>
      <c r="I321" s="154"/>
      <c r="J321" s="147"/>
      <c r="K321" s="154"/>
    </row>
    <row r="322" ht="22.5" customHeight="1">
      <c r="A322" s="147"/>
      <c r="B322" s="148"/>
      <c r="C322" s="149"/>
      <c r="D322" s="150"/>
      <c r="E322" s="151"/>
      <c r="F322" s="152"/>
      <c r="G322" s="152">
        <f t="shared" si="1"/>
        <v>0</v>
      </c>
      <c r="H322" s="153"/>
      <c r="I322" s="154"/>
      <c r="J322" s="147"/>
      <c r="K322" s="154"/>
    </row>
    <row r="323" ht="22.5" customHeight="1">
      <c r="A323" s="147"/>
      <c r="B323" s="148"/>
      <c r="C323" s="149"/>
      <c r="D323" s="150"/>
      <c r="E323" s="151"/>
      <c r="F323" s="152"/>
      <c r="G323" s="152">
        <f t="shared" si="1"/>
        <v>0</v>
      </c>
      <c r="H323" s="153"/>
      <c r="I323" s="154"/>
      <c r="J323" s="147"/>
      <c r="K323" s="154"/>
    </row>
    <row r="324" ht="22.5" customHeight="1">
      <c r="A324" s="147"/>
      <c r="B324" s="148"/>
      <c r="C324" s="149"/>
      <c r="D324" s="150"/>
      <c r="E324" s="151"/>
      <c r="F324" s="152"/>
      <c r="G324" s="152">
        <f t="shared" si="1"/>
        <v>0</v>
      </c>
      <c r="H324" s="153"/>
      <c r="I324" s="154"/>
      <c r="J324" s="147"/>
      <c r="K324" s="154"/>
    </row>
    <row r="325" ht="22.5" customHeight="1">
      <c r="A325" s="147"/>
      <c r="B325" s="148"/>
      <c r="C325" s="149"/>
      <c r="D325" s="150"/>
      <c r="E325" s="151"/>
      <c r="F325" s="152"/>
      <c r="G325" s="152">
        <f t="shared" si="1"/>
        <v>0</v>
      </c>
      <c r="H325" s="153"/>
      <c r="I325" s="154"/>
      <c r="J325" s="147"/>
      <c r="K325" s="154"/>
    </row>
    <row r="326" ht="22.5" customHeight="1">
      <c r="A326" s="147"/>
      <c r="B326" s="148"/>
      <c r="C326" s="149"/>
      <c r="D326" s="150"/>
      <c r="E326" s="151"/>
      <c r="F326" s="152"/>
      <c r="G326" s="152">
        <f t="shared" si="1"/>
        <v>0</v>
      </c>
      <c r="H326" s="153"/>
      <c r="I326" s="154"/>
      <c r="J326" s="147"/>
      <c r="K326" s="154"/>
    </row>
    <row r="327" ht="22.5" customHeight="1">
      <c r="A327" s="147"/>
      <c r="B327" s="148"/>
      <c r="C327" s="149"/>
      <c r="D327" s="150"/>
      <c r="E327" s="151"/>
      <c r="F327" s="152"/>
      <c r="G327" s="152">
        <f t="shared" si="1"/>
        <v>0</v>
      </c>
      <c r="H327" s="153"/>
      <c r="I327" s="154"/>
      <c r="J327" s="147"/>
      <c r="K327" s="154"/>
    </row>
    <row r="328" ht="22.5" customHeight="1">
      <c r="A328" s="147"/>
      <c r="B328" s="148"/>
      <c r="C328" s="149"/>
      <c r="D328" s="150"/>
      <c r="E328" s="151"/>
      <c r="F328" s="152"/>
      <c r="G328" s="152">
        <f t="shared" si="1"/>
        <v>0</v>
      </c>
      <c r="H328" s="153"/>
      <c r="I328" s="154"/>
      <c r="J328" s="147"/>
      <c r="K328" s="154"/>
    </row>
    <row r="329" ht="22.5" customHeight="1">
      <c r="A329" s="147"/>
      <c r="B329" s="148"/>
      <c r="C329" s="149"/>
      <c r="D329" s="150"/>
      <c r="E329" s="151"/>
      <c r="F329" s="152"/>
      <c r="G329" s="152">
        <f t="shared" si="1"/>
        <v>0</v>
      </c>
      <c r="H329" s="153"/>
      <c r="I329" s="154"/>
      <c r="J329" s="147"/>
      <c r="K329" s="154"/>
    </row>
    <row r="330" ht="22.5" customHeight="1">
      <c r="A330" s="147"/>
      <c r="B330" s="148"/>
      <c r="C330" s="149"/>
      <c r="D330" s="150"/>
      <c r="E330" s="151"/>
      <c r="F330" s="152"/>
      <c r="G330" s="152">
        <f t="shared" si="1"/>
        <v>0</v>
      </c>
      <c r="H330" s="153"/>
      <c r="I330" s="154"/>
      <c r="J330" s="147"/>
      <c r="K330" s="154"/>
    </row>
    <row r="331" ht="22.5" customHeight="1">
      <c r="A331" s="147"/>
      <c r="B331" s="148"/>
      <c r="C331" s="149"/>
      <c r="D331" s="150"/>
      <c r="E331" s="151"/>
      <c r="F331" s="152"/>
      <c r="G331" s="152">
        <f t="shared" si="1"/>
        <v>0</v>
      </c>
      <c r="H331" s="153"/>
      <c r="I331" s="154"/>
      <c r="J331" s="147"/>
      <c r="K331" s="154"/>
    </row>
    <row r="332" ht="22.5" customHeight="1">
      <c r="A332" s="147"/>
      <c r="B332" s="148"/>
      <c r="C332" s="149"/>
      <c r="D332" s="150"/>
      <c r="E332" s="151"/>
      <c r="F332" s="152"/>
      <c r="G332" s="152">
        <f t="shared" si="1"/>
        <v>0</v>
      </c>
      <c r="H332" s="153"/>
      <c r="I332" s="154"/>
      <c r="J332" s="147"/>
      <c r="K332" s="154"/>
    </row>
    <row r="333" ht="22.5" customHeight="1">
      <c r="A333" s="147"/>
      <c r="B333" s="148"/>
      <c r="C333" s="149"/>
      <c r="D333" s="150"/>
      <c r="E333" s="151"/>
      <c r="F333" s="152"/>
      <c r="G333" s="152">
        <f t="shared" si="1"/>
        <v>0</v>
      </c>
      <c r="H333" s="153"/>
      <c r="I333" s="154"/>
      <c r="J333" s="147"/>
      <c r="K333" s="154"/>
    </row>
    <row r="334" ht="22.5" customHeight="1">
      <c r="A334" s="147"/>
      <c r="B334" s="148"/>
      <c r="C334" s="149"/>
      <c r="D334" s="150"/>
      <c r="E334" s="151"/>
      <c r="F334" s="152"/>
      <c r="G334" s="152">
        <f t="shared" si="1"/>
        <v>0</v>
      </c>
      <c r="H334" s="153"/>
      <c r="I334" s="154"/>
      <c r="J334" s="147"/>
      <c r="K334" s="154"/>
    </row>
    <row r="335" ht="22.5" customHeight="1">
      <c r="A335" s="147"/>
      <c r="B335" s="148"/>
      <c r="C335" s="149"/>
      <c r="D335" s="150"/>
      <c r="E335" s="151"/>
      <c r="F335" s="152"/>
      <c r="G335" s="152">
        <f t="shared" si="1"/>
        <v>0</v>
      </c>
      <c r="H335" s="153"/>
      <c r="I335" s="154"/>
      <c r="J335" s="147"/>
      <c r="K335" s="154"/>
    </row>
    <row r="336" ht="22.5" customHeight="1">
      <c r="A336" s="147"/>
      <c r="B336" s="148"/>
      <c r="C336" s="149"/>
      <c r="D336" s="150"/>
      <c r="E336" s="151"/>
      <c r="F336" s="152"/>
      <c r="G336" s="152">
        <f t="shared" si="1"/>
        <v>0</v>
      </c>
      <c r="H336" s="153"/>
      <c r="I336" s="154"/>
      <c r="J336" s="147"/>
      <c r="K336" s="154"/>
    </row>
    <row r="337" ht="22.5" customHeight="1">
      <c r="A337" s="147"/>
      <c r="B337" s="148"/>
      <c r="C337" s="149"/>
      <c r="D337" s="150"/>
      <c r="E337" s="151"/>
      <c r="F337" s="152"/>
      <c r="G337" s="152">
        <f t="shared" si="1"/>
        <v>0</v>
      </c>
      <c r="H337" s="153"/>
      <c r="I337" s="154"/>
      <c r="J337" s="147"/>
      <c r="K337" s="154"/>
    </row>
    <row r="338" ht="22.5" customHeight="1">
      <c r="A338" s="147"/>
      <c r="B338" s="148"/>
      <c r="C338" s="149"/>
      <c r="D338" s="150"/>
      <c r="E338" s="151"/>
      <c r="F338" s="152"/>
      <c r="G338" s="152">
        <f t="shared" si="1"/>
        <v>0</v>
      </c>
      <c r="H338" s="153"/>
      <c r="I338" s="154"/>
      <c r="J338" s="147"/>
      <c r="K338" s="154"/>
    </row>
    <row r="339" ht="22.5" customHeight="1">
      <c r="A339" s="147"/>
      <c r="B339" s="148"/>
      <c r="C339" s="149"/>
      <c r="D339" s="150"/>
      <c r="E339" s="151"/>
      <c r="F339" s="152"/>
      <c r="G339" s="152">
        <f t="shared" si="1"/>
        <v>0</v>
      </c>
      <c r="H339" s="153"/>
      <c r="I339" s="154"/>
      <c r="J339" s="147"/>
      <c r="K339" s="154"/>
    </row>
    <row r="340" ht="22.5" customHeight="1">
      <c r="A340" s="147"/>
      <c r="B340" s="148"/>
      <c r="C340" s="149"/>
      <c r="D340" s="150"/>
      <c r="E340" s="151"/>
      <c r="F340" s="152"/>
      <c r="G340" s="152">
        <f t="shared" si="1"/>
        <v>0</v>
      </c>
      <c r="H340" s="153"/>
      <c r="I340" s="154"/>
      <c r="J340" s="147"/>
      <c r="K340" s="154"/>
    </row>
    <row r="341" ht="22.5" customHeight="1">
      <c r="A341" s="147"/>
      <c r="B341" s="148"/>
      <c r="C341" s="149"/>
      <c r="D341" s="150"/>
      <c r="E341" s="151"/>
      <c r="F341" s="152"/>
      <c r="G341" s="152">
        <f t="shared" si="1"/>
        <v>0</v>
      </c>
      <c r="H341" s="153"/>
      <c r="I341" s="154"/>
      <c r="J341" s="147"/>
      <c r="K341" s="154"/>
    </row>
    <row r="342" ht="22.5" customHeight="1">
      <c r="A342" s="147"/>
      <c r="B342" s="148"/>
      <c r="C342" s="149"/>
      <c r="D342" s="150"/>
      <c r="E342" s="151"/>
      <c r="F342" s="152"/>
      <c r="G342" s="152">
        <f t="shared" si="1"/>
        <v>0</v>
      </c>
      <c r="H342" s="153"/>
      <c r="I342" s="154"/>
      <c r="J342" s="147"/>
      <c r="K342" s="154"/>
    </row>
    <row r="343" ht="22.5" customHeight="1">
      <c r="A343" s="147"/>
      <c r="B343" s="148"/>
      <c r="C343" s="149"/>
      <c r="D343" s="150"/>
      <c r="E343" s="151"/>
      <c r="F343" s="152"/>
      <c r="G343" s="152">
        <f t="shared" si="1"/>
        <v>0</v>
      </c>
      <c r="H343" s="153"/>
      <c r="I343" s="154"/>
      <c r="J343" s="147"/>
      <c r="K343" s="154"/>
    </row>
    <row r="344" ht="22.5" customHeight="1">
      <c r="A344" s="147"/>
      <c r="B344" s="148"/>
      <c r="C344" s="149"/>
      <c r="D344" s="150"/>
      <c r="E344" s="151"/>
      <c r="F344" s="152"/>
      <c r="G344" s="152">
        <f t="shared" si="1"/>
        <v>0</v>
      </c>
      <c r="H344" s="153"/>
      <c r="I344" s="154"/>
      <c r="J344" s="147"/>
      <c r="K344" s="154"/>
    </row>
    <row r="345" ht="22.5" customHeight="1">
      <c r="A345" s="147"/>
      <c r="B345" s="148"/>
      <c r="C345" s="149"/>
      <c r="D345" s="150"/>
      <c r="E345" s="151"/>
      <c r="F345" s="152"/>
      <c r="G345" s="152">
        <f t="shared" si="1"/>
        <v>0</v>
      </c>
      <c r="H345" s="153"/>
      <c r="I345" s="154"/>
      <c r="J345" s="147"/>
      <c r="K345" s="154"/>
    </row>
    <row r="346" ht="22.5" customHeight="1">
      <c r="A346" s="147"/>
      <c r="B346" s="148"/>
      <c r="C346" s="149"/>
      <c r="D346" s="150"/>
      <c r="E346" s="151"/>
      <c r="F346" s="152"/>
      <c r="G346" s="152">
        <f t="shared" si="1"/>
        <v>0</v>
      </c>
      <c r="H346" s="153"/>
      <c r="I346" s="154"/>
      <c r="J346" s="147"/>
      <c r="K346" s="154"/>
    </row>
    <row r="347" ht="22.5" customHeight="1">
      <c r="A347" s="147"/>
      <c r="B347" s="148"/>
      <c r="C347" s="149"/>
      <c r="D347" s="150"/>
      <c r="E347" s="151"/>
      <c r="F347" s="152"/>
      <c r="G347" s="152">
        <f t="shared" si="1"/>
        <v>0</v>
      </c>
      <c r="H347" s="153"/>
      <c r="I347" s="154"/>
      <c r="J347" s="147"/>
      <c r="K347" s="154"/>
    </row>
    <row r="348" ht="22.5" customHeight="1">
      <c r="A348" s="147"/>
      <c r="B348" s="148"/>
      <c r="C348" s="149"/>
      <c r="D348" s="150"/>
      <c r="E348" s="151"/>
      <c r="F348" s="152"/>
      <c r="G348" s="152">
        <f t="shared" si="1"/>
        <v>0</v>
      </c>
      <c r="H348" s="153"/>
      <c r="I348" s="154"/>
      <c r="J348" s="147"/>
      <c r="K348" s="154"/>
    </row>
    <row r="349" ht="22.5" customHeight="1">
      <c r="A349" s="147"/>
      <c r="B349" s="148"/>
      <c r="C349" s="149"/>
      <c r="D349" s="150"/>
      <c r="E349" s="151"/>
      <c r="F349" s="152"/>
      <c r="G349" s="152">
        <f t="shared" si="1"/>
        <v>0</v>
      </c>
      <c r="H349" s="153"/>
      <c r="I349" s="154"/>
      <c r="J349" s="147"/>
      <c r="K349" s="154"/>
    </row>
    <row r="350" ht="22.5" customHeight="1">
      <c r="A350" s="147"/>
      <c r="B350" s="148"/>
      <c r="C350" s="149"/>
      <c r="D350" s="150"/>
      <c r="E350" s="151"/>
      <c r="F350" s="152"/>
      <c r="G350" s="152">
        <f t="shared" si="1"/>
        <v>0</v>
      </c>
      <c r="H350" s="153"/>
      <c r="I350" s="154"/>
      <c r="J350" s="147"/>
      <c r="K350" s="154"/>
    </row>
    <row r="351" ht="22.5" customHeight="1">
      <c r="A351" s="147"/>
      <c r="B351" s="148"/>
      <c r="C351" s="149"/>
      <c r="D351" s="150"/>
      <c r="E351" s="151"/>
      <c r="F351" s="152"/>
      <c r="G351" s="152">
        <f t="shared" si="1"/>
        <v>0</v>
      </c>
      <c r="H351" s="153"/>
      <c r="I351" s="154"/>
      <c r="J351" s="147"/>
      <c r="K351" s="154"/>
    </row>
    <row r="352" ht="22.5" customHeight="1">
      <c r="A352" s="147"/>
      <c r="B352" s="148"/>
      <c r="C352" s="149"/>
      <c r="D352" s="150"/>
      <c r="E352" s="151"/>
      <c r="F352" s="152"/>
      <c r="G352" s="152">
        <f t="shared" si="1"/>
        <v>0</v>
      </c>
      <c r="H352" s="153"/>
      <c r="I352" s="154"/>
      <c r="J352" s="147"/>
      <c r="K352" s="154"/>
    </row>
    <row r="353" ht="22.5" customHeight="1">
      <c r="A353" s="147"/>
      <c r="B353" s="148"/>
      <c r="C353" s="149"/>
      <c r="D353" s="150"/>
      <c r="E353" s="151"/>
      <c r="F353" s="152"/>
      <c r="G353" s="152">
        <f t="shared" si="1"/>
        <v>0</v>
      </c>
      <c r="H353" s="153"/>
      <c r="I353" s="154"/>
      <c r="J353" s="147"/>
      <c r="K353" s="154"/>
    </row>
    <row r="354" ht="22.5" customHeight="1">
      <c r="A354" s="147"/>
      <c r="B354" s="148"/>
      <c r="C354" s="149"/>
      <c r="D354" s="150"/>
      <c r="E354" s="151"/>
      <c r="F354" s="152"/>
      <c r="G354" s="152">
        <f t="shared" si="1"/>
        <v>0</v>
      </c>
      <c r="H354" s="153"/>
      <c r="I354" s="154"/>
      <c r="J354" s="147"/>
      <c r="K354" s="154"/>
    </row>
    <row r="355" ht="22.5" customHeight="1">
      <c r="A355" s="147"/>
      <c r="B355" s="148"/>
      <c r="C355" s="149"/>
      <c r="D355" s="150"/>
      <c r="E355" s="151"/>
      <c r="F355" s="152"/>
      <c r="G355" s="152">
        <f t="shared" si="1"/>
        <v>0</v>
      </c>
      <c r="H355" s="153"/>
      <c r="I355" s="154"/>
      <c r="J355" s="147"/>
      <c r="K355" s="154"/>
    </row>
    <row r="356" ht="22.5" customHeight="1">
      <c r="A356" s="147"/>
      <c r="B356" s="148"/>
      <c r="C356" s="149"/>
      <c r="D356" s="150"/>
      <c r="E356" s="151"/>
      <c r="F356" s="152"/>
      <c r="G356" s="152">
        <f t="shared" si="1"/>
        <v>0</v>
      </c>
      <c r="H356" s="153"/>
      <c r="I356" s="154"/>
      <c r="J356" s="147"/>
      <c r="K356" s="154"/>
    </row>
    <row r="357" ht="22.5" customHeight="1">
      <c r="A357" s="147"/>
      <c r="B357" s="148"/>
      <c r="C357" s="149"/>
      <c r="D357" s="150"/>
      <c r="E357" s="151"/>
      <c r="F357" s="152"/>
      <c r="G357" s="152">
        <f t="shared" si="1"/>
        <v>0</v>
      </c>
      <c r="H357" s="153"/>
      <c r="I357" s="154"/>
      <c r="J357" s="147"/>
      <c r="K357" s="154"/>
    </row>
    <row r="358" ht="22.5" customHeight="1">
      <c r="A358" s="147"/>
      <c r="B358" s="148"/>
      <c r="C358" s="149"/>
      <c r="D358" s="150"/>
      <c r="E358" s="151"/>
      <c r="F358" s="152"/>
      <c r="G358" s="152">
        <f t="shared" si="1"/>
        <v>0</v>
      </c>
      <c r="H358" s="153"/>
      <c r="I358" s="154"/>
      <c r="J358" s="147"/>
      <c r="K358" s="154"/>
    </row>
    <row r="359" ht="22.5" customHeight="1">
      <c r="A359" s="147"/>
      <c r="B359" s="148"/>
      <c r="C359" s="149"/>
      <c r="D359" s="150"/>
      <c r="E359" s="151"/>
      <c r="F359" s="152"/>
      <c r="G359" s="152">
        <f t="shared" si="1"/>
        <v>0</v>
      </c>
      <c r="H359" s="153"/>
      <c r="I359" s="154"/>
      <c r="J359" s="147"/>
      <c r="K359" s="154"/>
    </row>
    <row r="360" ht="22.5" customHeight="1">
      <c r="A360" s="147"/>
      <c r="B360" s="148"/>
      <c r="C360" s="149"/>
      <c r="D360" s="150"/>
      <c r="E360" s="151"/>
      <c r="F360" s="152"/>
      <c r="G360" s="152">
        <f t="shared" si="1"/>
        <v>0</v>
      </c>
      <c r="H360" s="153"/>
      <c r="I360" s="154"/>
      <c r="J360" s="147"/>
      <c r="K360" s="154"/>
    </row>
    <row r="361" ht="22.5" customHeight="1">
      <c r="A361" s="147"/>
      <c r="B361" s="148"/>
      <c r="C361" s="149"/>
      <c r="D361" s="150"/>
      <c r="E361" s="151"/>
      <c r="F361" s="152"/>
      <c r="G361" s="152">
        <f t="shared" si="1"/>
        <v>0</v>
      </c>
      <c r="H361" s="153"/>
      <c r="I361" s="154"/>
      <c r="J361" s="147"/>
      <c r="K361" s="154"/>
    </row>
    <row r="362" ht="22.5" customHeight="1">
      <c r="A362" s="147"/>
      <c r="B362" s="148"/>
      <c r="C362" s="149"/>
      <c r="D362" s="150"/>
      <c r="E362" s="151"/>
      <c r="F362" s="152"/>
      <c r="G362" s="152">
        <f t="shared" si="1"/>
        <v>0</v>
      </c>
      <c r="H362" s="153"/>
      <c r="I362" s="154"/>
      <c r="J362" s="147"/>
      <c r="K362" s="154"/>
    </row>
    <row r="363" ht="22.5" customHeight="1">
      <c r="A363" s="147"/>
      <c r="B363" s="148"/>
      <c r="C363" s="149"/>
      <c r="D363" s="150"/>
      <c r="E363" s="151"/>
      <c r="F363" s="152"/>
      <c r="G363" s="152">
        <f t="shared" si="1"/>
        <v>0</v>
      </c>
      <c r="H363" s="153"/>
      <c r="I363" s="154"/>
      <c r="J363" s="147"/>
      <c r="K363" s="154"/>
    </row>
    <row r="364" ht="22.5" customHeight="1">
      <c r="A364" s="147"/>
      <c r="B364" s="148"/>
      <c r="C364" s="149"/>
      <c r="D364" s="150"/>
      <c r="E364" s="151"/>
      <c r="F364" s="152"/>
      <c r="G364" s="152">
        <f t="shared" si="1"/>
        <v>0</v>
      </c>
      <c r="H364" s="153"/>
      <c r="I364" s="154"/>
      <c r="J364" s="147"/>
      <c r="K364" s="154"/>
    </row>
    <row r="365" ht="22.5" customHeight="1">
      <c r="A365" s="147"/>
      <c r="B365" s="148"/>
      <c r="C365" s="149"/>
      <c r="D365" s="150"/>
      <c r="E365" s="151"/>
      <c r="F365" s="152"/>
      <c r="G365" s="152">
        <f t="shared" si="1"/>
        <v>0</v>
      </c>
      <c r="H365" s="153"/>
      <c r="I365" s="154"/>
      <c r="J365" s="147"/>
      <c r="K365" s="154"/>
    </row>
    <row r="366" ht="22.5" customHeight="1">
      <c r="A366" s="147"/>
      <c r="B366" s="148"/>
      <c r="C366" s="149"/>
      <c r="D366" s="150"/>
      <c r="E366" s="151"/>
      <c r="F366" s="152"/>
      <c r="G366" s="152">
        <f t="shared" si="1"/>
        <v>0</v>
      </c>
      <c r="H366" s="153"/>
      <c r="I366" s="154"/>
      <c r="J366" s="147"/>
      <c r="K366" s="154"/>
    </row>
    <row r="367" ht="22.5" customHeight="1">
      <c r="A367" s="147"/>
      <c r="B367" s="148"/>
      <c r="C367" s="149"/>
      <c r="D367" s="150"/>
      <c r="E367" s="151"/>
      <c r="F367" s="152"/>
      <c r="G367" s="152">
        <f t="shared" si="1"/>
        <v>0</v>
      </c>
      <c r="H367" s="153"/>
      <c r="I367" s="154"/>
      <c r="J367" s="147"/>
      <c r="K367" s="154"/>
    </row>
    <row r="368" ht="22.5" customHeight="1">
      <c r="A368" s="147"/>
      <c r="B368" s="148"/>
      <c r="C368" s="149"/>
      <c r="D368" s="150"/>
      <c r="E368" s="151"/>
      <c r="F368" s="152"/>
      <c r="G368" s="152">
        <f t="shared" si="1"/>
        <v>0</v>
      </c>
      <c r="H368" s="153"/>
      <c r="I368" s="154"/>
      <c r="J368" s="147"/>
      <c r="K368" s="154"/>
    </row>
    <row r="369" ht="22.5" customHeight="1">
      <c r="A369" s="147"/>
      <c r="B369" s="148"/>
      <c r="C369" s="149"/>
      <c r="D369" s="150"/>
      <c r="E369" s="151"/>
      <c r="F369" s="152"/>
      <c r="G369" s="152">
        <f t="shared" si="1"/>
        <v>0</v>
      </c>
      <c r="H369" s="153"/>
      <c r="I369" s="154"/>
      <c r="J369" s="147"/>
      <c r="K369" s="154"/>
    </row>
    <row r="370" ht="22.5" customHeight="1">
      <c r="A370" s="147"/>
      <c r="B370" s="148"/>
      <c r="C370" s="149"/>
      <c r="D370" s="150"/>
      <c r="E370" s="151"/>
      <c r="F370" s="152"/>
      <c r="G370" s="152">
        <f t="shared" si="1"/>
        <v>0</v>
      </c>
      <c r="H370" s="153"/>
      <c r="I370" s="154"/>
      <c r="J370" s="147"/>
      <c r="K370" s="154"/>
    </row>
    <row r="371" ht="22.5" customHeight="1">
      <c r="A371" s="147"/>
      <c r="B371" s="148"/>
      <c r="C371" s="149"/>
      <c r="D371" s="150"/>
      <c r="E371" s="151"/>
      <c r="F371" s="152"/>
      <c r="G371" s="152">
        <f t="shared" si="1"/>
        <v>0</v>
      </c>
      <c r="H371" s="153"/>
      <c r="I371" s="154"/>
      <c r="J371" s="147"/>
      <c r="K371" s="154"/>
    </row>
    <row r="372" ht="22.5" customHeight="1">
      <c r="A372" s="147"/>
      <c r="B372" s="148"/>
      <c r="C372" s="149"/>
      <c r="D372" s="150"/>
      <c r="E372" s="151"/>
      <c r="F372" s="152"/>
      <c r="G372" s="152">
        <f t="shared" si="1"/>
        <v>0</v>
      </c>
      <c r="H372" s="153"/>
      <c r="I372" s="154"/>
      <c r="J372" s="147"/>
      <c r="K372" s="154"/>
    </row>
    <row r="373" ht="22.5" customHeight="1">
      <c r="A373" s="147"/>
      <c r="B373" s="148"/>
      <c r="C373" s="149"/>
      <c r="D373" s="150"/>
      <c r="E373" s="151"/>
      <c r="F373" s="152"/>
      <c r="G373" s="152">
        <f t="shared" si="1"/>
        <v>0</v>
      </c>
      <c r="H373" s="153"/>
      <c r="I373" s="154"/>
      <c r="J373" s="147"/>
      <c r="K373" s="154"/>
    </row>
    <row r="374" ht="22.5" customHeight="1">
      <c r="A374" s="147"/>
      <c r="B374" s="148"/>
      <c r="C374" s="149"/>
      <c r="D374" s="150"/>
      <c r="E374" s="151"/>
      <c r="F374" s="152"/>
      <c r="G374" s="152">
        <f t="shared" si="1"/>
        <v>0</v>
      </c>
      <c r="H374" s="153"/>
      <c r="I374" s="154"/>
      <c r="J374" s="147"/>
      <c r="K374" s="154"/>
    </row>
    <row r="375" ht="22.5" customHeight="1">
      <c r="A375" s="147"/>
      <c r="B375" s="148"/>
      <c r="C375" s="149"/>
      <c r="D375" s="150"/>
      <c r="E375" s="151"/>
      <c r="F375" s="152"/>
      <c r="G375" s="152">
        <f t="shared" si="1"/>
        <v>0</v>
      </c>
      <c r="H375" s="153"/>
      <c r="I375" s="154"/>
      <c r="J375" s="147"/>
      <c r="K375" s="154"/>
    </row>
    <row r="376" ht="22.5" customHeight="1">
      <c r="A376" s="147"/>
      <c r="B376" s="148"/>
      <c r="C376" s="149"/>
      <c r="D376" s="150"/>
      <c r="E376" s="151"/>
      <c r="F376" s="152"/>
      <c r="G376" s="152">
        <f t="shared" si="1"/>
        <v>0</v>
      </c>
      <c r="H376" s="153"/>
      <c r="I376" s="154"/>
      <c r="J376" s="147"/>
      <c r="K376" s="154"/>
    </row>
    <row r="377" ht="22.5" customHeight="1">
      <c r="A377" s="147"/>
      <c r="B377" s="148"/>
      <c r="C377" s="149"/>
      <c r="D377" s="150"/>
      <c r="E377" s="151"/>
      <c r="F377" s="152"/>
      <c r="G377" s="152">
        <f t="shared" si="1"/>
        <v>0</v>
      </c>
      <c r="H377" s="153"/>
      <c r="I377" s="154"/>
      <c r="J377" s="147"/>
      <c r="K377" s="154"/>
    </row>
    <row r="378" ht="22.5" customHeight="1">
      <c r="A378" s="147"/>
      <c r="B378" s="148"/>
      <c r="C378" s="149"/>
      <c r="D378" s="150"/>
      <c r="E378" s="151"/>
      <c r="F378" s="152"/>
      <c r="G378" s="152">
        <f t="shared" si="1"/>
        <v>0</v>
      </c>
      <c r="H378" s="153"/>
      <c r="I378" s="154"/>
      <c r="J378" s="147"/>
      <c r="K378" s="154"/>
    </row>
    <row r="379" ht="22.5" customHeight="1">
      <c r="A379" s="147"/>
      <c r="B379" s="148"/>
      <c r="C379" s="149"/>
      <c r="D379" s="150"/>
      <c r="E379" s="151"/>
      <c r="F379" s="152"/>
      <c r="G379" s="152">
        <f t="shared" si="1"/>
        <v>0</v>
      </c>
      <c r="H379" s="153"/>
      <c r="I379" s="154"/>
      <c r="J379" s="147"/>
      <c r="K379" s="154"/>
    </row>
    <row r="380" ht="22.5" customHeight="1">
      <c r="A380" s="147"/>
      <c r="B380" s="148"/>
      <c r="C380" s="149"/>
      <c r="D380" s="150"/>
      <c r="E380" s="151"/>
      <c r="F380" s="152"/>
      <c r="G380" s="152">
        <f t="shared" si="1"/>
        <v>0</v>
      </c>
      <c r="H380" s="153"/>
      <c r="I380" s="154"/>
      <c r="J380" s="147"/>
      <c r="K380" s="154"/>
    </row>
    <row r="381" ht="22.5" customHeight="1">
      <c r="A381" s="147"/>
      <c r="B381" s="148"/>
      <c r="C381" s="149"/>
      <c r="D381" s="150"/>
      <c r="E381" s="151"/>
      <c r="F381" s="152"/>
      <c r="G381" s="152">
        <f t="shared" si="1"/>
        <v>0</v>
      </c>
      <c r="H381" s="153"/>
      <c r="I381" s="154"/>
      <c r="J381" s="147"/>
      <c r="K381" s="154"/>
    </row>
    <row r="382" ht="22.5" customHeight="1">
      <c r="A382" s="147"/>
      <c r="B382" s="148"/>
      <c r="C382" s="149"/>
      <c r="D382" s="150"/>
      <c r="E382" s="151"/>
      <c r="F382" s="152"/>
      <c r="G382" s="152">
        <f t="shared" si="1"/>
        <v>0</v>
      </c>
      <c r="H382" s="153"/>
      <c r="I382" s="154"/>
      <c r="J382" s="147"/>
      <c r="K382" s="154"/>
    </row>
    <row r="383" ht="22.5" customHeight="1">
      <c r="A383" s="147"/>
      <c r="B383" s="148"/>
      <c r="C383" s="149"/>
      <c r="D383" s="150"/>
      <c r="E383" s="151"/>
      <c r="F383" s="152"/>
      <c r="G383" s="152">
        <f t="shared" si="1"/>
        <v>0</v>
      </c>
      <c r="H383" s="153"/>
      <c r="I383" s="154"/>
      <c r="J383" s="147"/>
      <c r="K383" s="154"/>
    </row>
    <row r="384" ht="22.5" customHeight="1">
      <c r="A384" s="147"/>
      <c r="B384" s="148"/>
      <c r="C384" s="149"/>
      <c r="D384" s="150"/>
      <c r="E384" s="151"/>
      <c r="F384" s="152"/>
      <c r="G384" s="152">
        <f t="shared" si="1"/>
        <v>0</v>
      </c>
      <c r="H384" s="153"/>
      <c r="I384" s="154"/>
      <c r="J384" s="147"/>
      <c r="K384" s="154"/>
    </row>
    <row r="385" ht="22.5" customHeight="1">
      <c r="A385" s="147"/>
      <c r="B385" s="148"/>
      <c r="C385" s="149"/>
      <c r="D385" s="150"/>
      <c r="E385" s="151"/>
      <c r="F385" s="152"/>
      <c r="G385" s="152">
        <f t="shared" si="1"/>
        <v>0</v>
      </c>
      <c r="H385" s="153"/>
      <c r="I385" s="154"/>
      <c r="J385" s="147"/>
      <c r="K385" s="154"/>
    </row>
    <row r="386" ht="22.5" customHeight="1">
      <c r="A386" s="147"/>
      <c r="B386" s="148"/>
      <c r="C386" s="149"/>
      <c r="D386" s="150"/>
      <c r="E386" s="151"/>
      <c r="F386" s="152"/>
      <c r="G386" s="152">
        <f t="shared" si="1"/>
        <v>0</v>
      </c>
      <c r="H386" s="153"/>
      <c r="I386" s="154"/>
      <c r="J386" s="147"/>
      <c r="K386" s="154"/>
    </row>
    <row r="387" ht="22.5" customHeight="1">
      <c r="A387" s="147"/>
      <c r="B387" s="148"/>
      <c r="C387" s="149"/>
      <c r="D387" s="150"/>
      <c r="E387" s="151"/>
      <c r="F387" s="152"/>
      <c r="G387" s="152">
        <f t="shared" si="1"/>
        <v>0</v>
      </c>
      <c r="H387" s="153"/>
      <c r="I387" s="154"/>
      <c r="J387" s="147"/>
      <c r="K387" s="154"/>
    </row>
    <row r="388" ht="22.5" customHeight="1">
      <c r="A388" s="147"/>
      <c r="B388" s="148"/>
      <c r="C388" s="149"/>
      <c r="D388" s="150"/>
      <c r="E388" s="151"/>
      <c r="F388" s="152"/>
      <c r="G388" s="152">
        <f t="shared" si="1"/>
        <v>0</v>
      </c>
      <c r="H388" s="153"/>
      <c r="I388" s="154"/>
      <c r="J388" s="147"/>
      <c r="K388" s="154"/>
    </row>
    <row r="389" ht="22.5" customHeight="1">
      <c r="A389" s="147"/>
      <c r="B389" s="148"/>
      <c r="C389" s="149"/>
      <c r="D389" s="150"/>
      <c r="E389" s="151"/>
      <c r="F389" s="152"/>
      <c r="G389" s="152">
        <f t="shared" si="1"/>
        <v>0</v>
      </c>
      <c r="H389" s="153"/>
      <c r="I389" s="154"/>
      <c r="J389" s="147"/>
      <c r="K389" s="154"/>
    </row>
    <row r="390" ht="22.5" customHeight="1">
      <c r="A390" s="147"/>
      <c r="B390" s="148"/>
      <c r="C390" s="149"/>
      <c r="D390" s="150"/>
      <c r="E390" s="151"/>
      <c r="F390" s="152"/>
      <c r="G390" s="152">
        <f t="shared" si="1"/>
        <v>0</v>
      </c>
      <c r="H390" s="153"/>
      <c r="I390" s="154"/>
      <c r="J390" s="147"/>
      <c r="K390" s="154"/>
    </row>
    <row r="391" ht="22.5" customHeight="1">
      <c r="A391" s="147"/>
      <c r="B391" s="148"/>
      <c r="C391" s="149"/>
      <c r="D391" s="150"/>
      <c r="E391" s="151"/>
      <c r="F391" s="152"/>
      <c r="G391" s="152">
        <f t="shared" si="1"/>
        <v>0</v>
      </c>
      <c r="H391" s="153"/>
      <c r="I391" s="154"/>
      <c r="J391" s="147"/>
      <c r="K391" s="154"/>
    </row>
    <row r="392" ht="22.5" customHeight="1">
      <c r="A392" s="147"/>
      <c r="B392" s="148"/>
      <c r="C392" s="149"/>
      <c r="D392" s="150"/>
      <c r="E392" s="151"/>
      <c r="F392" s="152"/>
      <c r="G392" s="152">
        <f t="shared" si="1"/>
        <v>0</v>
      </c>
      <c r="H392" s="153"/>
      <c r="I392" s="154"/>
      <c r="J392" s="147"/>
      <c r="K392" s="154"/>
    </row>
    <row r="393" ht="22.5" customHeight="1">
      <c r="A393" s="147"/>
      <c r="B393" s="148"/>
      <c r="C393" s="149"/>
      <c r="D393" s="150"/>
      <c r="E393" s="151"/>
      <c r="F393" s="152"/>
      <c r="G393" s="152">
        <f t="shared" si="1"/>
        <v>0</v>
      </c>
      <c r="H393" s="153"/>
      <c r="I393" s="154"/>
      <c r="J393" s="147"/>
      <c r="K393" s="154"/>
    </row>
    <row r="394" ht="22.5" customHeight="1">
      <c r="A394" s="147"/>
      <c r="B394" s="148"/>
      <c r="C394" s="149"/>
      <c r="D394" s="150"/>
      <c r="E394" s="151"/>
      <c r="F394" s="152"/>
      <c r="G394" s="152">
        <f t="shared" si="1"/>
        <v>0</v>
      </c>
      <c r="H394" s="153"/>
      <c r="I394" s="154"/>
      <c r="J394" s="147"/>
      <c r="K394" s="154"/>
    </row>
    <row r="395" ht="22.5" customHeight="1">
      <c r="A395" s="147"/>
      <c r="B395" s="148"/>
      <c r="C395" s="149"/>
      <c r="D395" s="150"/>
      <c r="E395" s="151"/>
      <c r="F395" s="152"/>
      <c r="G395" s="152">
        <f t="shared" si="1"/>
        <v>0</v>
      </c>
      <c r="H395" s="153"/>
      <c r="I395" s="154"/>
      <c r="J395" s="147"/>
      <c r="K395" s="154"/>
    </row>
    <row r="396" ht="22.5" customHeight="1">
      <c r="A396" s="147"/>
      <c r="B396" s="148"/>
      <c r="C396" s="149"/>
      <c r="D396" s="150"/>
      <c r="E396" s="151"/>
      <c r="F396" s="152"/>
      <c r="G396" s="152">
        <f t="shared" si="1"/>
        <v>0</v>
      </c>
      <c r="H396" s="153"/>
      <c r="I396" s="154"/>
      <c r="J396" s="147"/>
      <c r="K396" s="154"/>
    </row>
    <row r="397" ht="22.5" customHeight="1">
      <c r="A397" s="147"/>
      <c r="B397" s="148"/>
      <c r="C397" s="149"/>
      <c r="D397" s="150"/>
      <c r="E397" s="151"/>
      <c r="F397" s="152"/>
      <c r="G397" s="152">
        <f t="shared" si="1"/>
        <v>0</v>
      </c>
      <c r="H397" s="153"/>
      <c r="I397" s="154"/>
      <c r="J397" s="147"/>
      <c r="K397" s="154"/>
    </row>
    <row r="398" ht="22.5" customHeight="1">
      <c r="A398" s="147"/>
      <c r="B398" s="148"/>
      <c r="C398" s="149"/>
      <c r="D398" s="150"/>
      <c r="E398" s="151"/>
      <c r="F398" s="152"/>
      <c r="G398" s="152">
        <f t="shared" si="1"/>
        <v>0</v>
      </c>
      <c r="H398" s="153"/>
      <c r="I398" s="154"/>
      <c r="J398" s="147"/>
      <c r="K398" s="154"/>
    </row>
    <row r="399" ht="22.5" customHeight="1">
      <c r="A399" s="147"/>
      <c r="B399" s="148"/>
      <c r="C399" s="149"/>
      <c r="D399" s="150"/>
      <c r="E399" s="151"/>
      <c r="F399" s="152"/>
      <c r="G399" s="152">
        <f t="shared" si="1"/>
        <v>0</v>
      </c>
      <c r="H399" s="153"/>
      <c r="I399" s="154"/>
      <c r="J399" s="147"/>
      <c r="K399" s="154"/>
    </row>
    <row r="400" ht="22.5" customHeight="1">
      <c r="A400" s="147"/>
      <c r="B400" s="148"/>
      <c r="C400" s="149"/>
      <c r="D400" s="150"/>
      <c r="E400" s="151"/>
      <c r="F400" s="152"/>
      <c r="G400" s="152">
        <f t="shared" si="1"/>
        <v>0</v>
      </c>
      <c r="H400" s="153"/>
      <c r="I400" s="154"/>
      <c r="J400" s="147"/>
      <c r="K400" s="154"/>
    </row>
    <row r="401" ht="22.5" customHeight="1">
      <c r="A401" s="147"/>
      <c r="B401" s="148"/>
      <c r="C401" s="149"/>
      <c r="D401" s="150"/>
      <c r="E401" s="151"/>
      <c r="F401" s="152"/>
      <c r="G401" s="152">
        <f t="shared" si="1"/>
        <v>0</v>
      </c>
      <c r="H401" s="153"/>
      <c r="I401" s="154"/>
      <c r="J401" s="147"/>
      <c r="K401" s="154"/>
    </row>
    <row r="402" ht="22.5" customHeight="1">
      <c r="A402" s="147"/>
      <c r="B402" s="148"/>
      <c r="C402" s="149"/>
      <c r="D402" s="150"/>
      <c r="E402" s="151"/>
      <c r="F402" s="152"/>
      <c r="G402" s="152">
        <f t="shared" si="1"/>
        <v>0</v>
      </c>
      <c r="H402" s="153"/>
      <c r="I402" s="154"/>
      <c r="J402" s="147"/>
      <c r="K402" s="154"/>
    </row>
    <row r="403" ht="22.5" customHeight="1">
      <c r="A403" s="147"/>
      <c r="B403" s="148"/>
      <c r="C403" s="149"/>
      <c r="D403" s="150"/>
      <c r="E403" s="151"/>
      <c r="F403" s="152"/>
      <c r="G403" s="152">
        <f t="shared" si="1"/>
        <v>0</v>
      </c>
      <c r="H403" s="153"/>
      <c r="I403" s="154"/>
      <c r="J403" s="147"/>
      <c r="K403" s="154"/>
    </row>
    <row r="404" ht="22.5" customHeight="1">
      <c r="A404" s="147"/>
      <c r="B404" s="148"/>
      <c r="C404" s="149"/>
      <c r="D404" s="150"/>
      <c r="E404" s="151"/>
      <c r="F404" s="152"/>
      <c r="G404" s="152">
        <f t="shared" si="1"/>
        <v>0</v>
      </c>
      <c r="H404" s="153"/>
      <c r="I404" s="154"/>
      <c r="J404" s="147"/>
      <c r="K404" s="154"/>
    </row>
    <row r="405" ht="22.5" customHeight="1">
      <c r="A405" s="147"/>
      <c r="B405" s="148"/>
      <c r="C405" s="149"/>
      <c r="D405" s="150"/>
      <c r="E405" s="151"/>
      <c r="F405" s="152"/>
      <c r="G405" s="152">
        <f t="shared" si="1"/>
        <v>0</v>
      </c>
      <c r="H405" s="153"/>
      <c r="I405" s="154"/>
      <c r="J405" s="147"/>
      <c r="K405" s="154"/>
    </row>
    <row r="406" ht="22.5" customHeight="1">
      <c r="A406" s="147"/>
      <c r="B406" s="148"/>
      <c r="C406" s="149"/>
      <c r="D406" s="150"/>
      <c r="E406" s="151"/>
      <c r="F406" s="152"/>
      <c r="G406" s="152">
        <f t="shared" si="1"/>
        <v>0</v>
      </c>
      <c r="H406" s="153"/>
      <c r="I406" s="154"/>
      <c r="J406" s="147"/>
      <c r="K406" s="154"/>
    </row>
    <row r="407" ht="22.5" customHeight="1">
      <c r="A407" s="147"/>
      <c r="B407" s="148"/>
      <c r="C407" s="149"/>
      <c r="D407" s="150"/>
      <c r="E407" s="151"/>
      <c r="F407" s="152"/>
      <c r="G407" s="152">
        <f t="shared" si="1"/>
        <v>0</v>
      </c>
      <c r="H407" s="153"/>
      <c r="I407" s="154"/>
      <c r="J407" s="147"/>
      <c r="K407" s="154"/>
    </row>
    <row r="408" ht="22.5" customHeight="1">
      <c r="A408" s="147"/>
      <c r="B408" s="148"/>
      <c r="C408" s="149"/>
      <c r="D408" s="150"/>
      <c r="E408" s="151"/>
      <c r="F408" s="152"/>
      <c r="G408" s="152">
        <f t="shared" si="1"/>
        <v>0</v>
      </c>
      <c r="H408" s="153"/>
      <c r="I408" s="154"/>
      <c r="J408" s="147"/>
      <c r="K408" s="154"/>
    </row>
    <row r="409" ht="22.5" customHeight="1">
      <c r="A409" s="147"/>
      <c r="B409" s="148"/>
      <c r="C409" s="149"/>
      <c r="D409" s="150"/>
      <c r="E409" s="151"/>
      <c r="F409" s="152"/>
      <c r="G409" s="152">
        <f t="shared" si="1"/>
        <v>0</v>
      </c>
      <c r="H409" s="153"/>
      <c r="I409" s="154"/>
      <c r="J409" s="147"/>
      <c r="K409" s="154"/>
    </row>
    <row r="410" ht="22.5" customHeight="1">
      <c r="A410" s="147"/>
      <c r="B410" s="148"/>
      <c r="C410" s="149"/>
      <c r="D410" s="150"/>
      <c r="E410" s="151"/>
      <c r="F410" s="152"/>
      <c r="G410" s="152">
        <f t="shared" si="1"/>
        <v>0</v>
      </c>
      <c r="H410" s="153"/>
      <c r="I410" s="154"/>
      <c r="J410" s="147"/>
      <c r="K410" s="154"/>
    </row>
    <row r="411" ht="22.5" customHeight="1">
      <c r="A411" s="147"/>
      <c r="B411" s="148"/>
      <c r="C411" s="149"/>
      <c r="D411" s="150"/>
      <c r="E411" s="151"/>
      <c r="F411" s="152"/>
      <c r="G411" s="152">
        <f t="shared" si="1"/>
        <v>0</v>
      </c>
      <c r="H411" s="153"/>
      <c r="I411" s="154"/>
      <c r="J411" s="147"/>
      <c r="K411" s="154"/>
    </row>
    <row r="412" ht="22.5" customHeight="1">
      <c r="A412" s="147"/>
      <c r="B412" s="148"/>
      <c r="C412" s="149"/>
      <c r="D412" s="150"/>
      <c r="E412" s="151"/>
      <c r="F412" s="152"/>
      <c r="G412" s="152">
        <f t="shared" si="1"/>
        <v>0</v>
      </c>
      <c r="H412" s="153"/>
      <c r="I412" s="154"/>
      <c r="J412" s="147"/>
      <c r="K412" s="154"/>
    </row>
    <row r="413" ht="22.5" customHeight="1">
      <c r="A413" s="147"/>
      <c r="B413" s="148"/>
      <c r="C413" s="149"/>
      <c r="D413" s="150"/>
      <c r="E413" s="151"/>
      <c r="F413" s="152"/>
      <c r="G413" s="152">
        <f t="shared" si="1"/>
        <v>0</v>
      </c>
      <c r="H413" s="153"/>
      <c r="I413" s="154"/>
      <c r="J413" s="147"/>
      <c r="K413" s="154"/>
    </row>
    <row r="414" ht="22.5" customHeight="1">
      <c r="A414" s="147"/>
      <c r="B414" s="148"/>
      <c r="C414" s="149"/>
      <c r="D414" s="150"/>
      <c r="E414" s="151"/>
      <c r="F414" s="152"/>
      <c r="G414" s="152">
        <f t="shared" si="1"/>
        <v>0</v>
      </c>
      <c r="H414" s="153"/>
      <c r="I414" s="154"/>
      <c r="J414" s="147"/>
      <c r="K414" s="154"/>
    </row>
    <row r="415" ht="22.5" customHeight="1">
      <c r="A415" s="147"/>
      <c r="B415" s="148"/>
      <c r="C415" s="149"/>
      <c r="D415" s="150"/>
      <c r="E415" s="151"/>
      <c r="F415" s="152"/>
      <c r="G415" s="152">
        <f t="shared" si="1"/>
        <v>0</v>
      </c>
      <c r="H415" s="153"/>
      <c r="I415" s="154"/>
      <c r="J415" s="147"/>
      <c r="K415" s="154"/>
    </row>
    <row r="416" ht="22.5" customHeight="1">
      <c r="A416" s="147"/>
      <c r="B416" s="148"/>
      <c r="C416" s="149"/>
      <c r="D416" s="150"/>
      <c r="E416" s="151"/>
      <c r="F416" s="152"/>
      <c r="G416" s="152">
        <f t="shared" si="1"/>
        <v>0</v>
      </c>
      <c r="H416" s="153"/>
      <c r="I416" s="154"/>
      <c r="J416" s="147"/>
      <c r="K416" s="154"/>
    </row>
    <row r="417" ht="22.5" customHeight="1">
      <c r="A417" s="147"/>
      <c r="B417" s="148"/>
      <c r="C417" s="149"/>
      <c r="D417" s="150"/>
      <c r="E417" s="151"/>
      <c r="F417" s="152"/>
      <c r="G417" s="152">
        <f t="shared" si="1"/>
        <v>0</v>
      </c>
      <c r="H417" s="153"/>
      <c r="I417" s="154"/>
      <c r="J417" s="147"/>
      <c r="K417" s="154"/>
    </row>
    <row r="418" ht="22.5" customHeight="1">
      <c r="A418" s="147"/>
      <c r="B418" s="148"/>
      <c r="C418" s="149"/>
      <c r="D418" s="150"/>
      <c r="E418" s="151"/>
      <c r="F418" s="152"/>
      <c r="G418" s="152">
        <f t="shared" si="1"/>
        <v>0</v>
      </c>
      <c r="H418" s="153"/>
      <c r="I418" s="154"/>
      <c r="J418" s="147"/>
      <c r="K418" s="154"/>
    </row>
    <row r="419" ht="22.5" customHeight="1">
      <c r="A419" s="147"/>
      <c r="B419" s="148"/>
      <c r="C419" s="149"/>
      <c r="D419" s="150"/>
      <c r="E419" s="151"/>
      <c r="F419" s="152"/>
      <c r="G419" s="152">
        <f t="shared" si="1"/>
        <v>0</v>
      </c>
      <c r="H419" s="153"/>
      <c r="I419" s="154"/>
      <c r="J419" s="147"/>
      <c r="K419" s="154"/>
    </row>
    <row r="420" ht="22.5" customHeight="1">
      <c r="A420" s="147"/>
      <c r="B420" s="148"/>
      <c r="C420" s="149"/>
      <c r="D420" s="150"/>
      <c r="E420" s="151"/>
      <c r="F420" s="152"/>
      <c r="G420" s="152">
        <f t="shared" si="1"/>
        <v>0</v>
      </c>
      <c r="H420" s="153"/>
      <c r="I420" s="154"/>
      <c r="J420" s="147"/>
      <c r="K420" s="154"/>
    </row>
    <row r="421" ht="22.5" customHeight="1">
      <c r="A421" s="147"/>
      <c r="B421" s="148"/>
      <c r="C421" s="149"/>
      <c r="D421" s="150"/>
      <c r="E421" s="151"/>
      <c r="F421" s="152"/>
      <c r="G421" s="152">
        <f t="shared" si="1"/>
        <v>0</v>
      </c>
      <c r="H421" s="153"/>
      <c r="I421" s="154"/>
      <c r="J421" s="147"/>
      <c r="K421" s="154"/>
    </row>
    <row r="422" ht="22.5" customHeight="1">
      <c r="A422" s="147"/>
      <c r="B422" s="148"/>
      <c r="C422" s="149"/>
      <c r="D422" s="150"/>
      <c r="E422" s="151"/>
      <c r="F422" s="152"/>
      <c r="G422" s="152">
        <f t="shared" si="1"/>
        <v>0</v>
      </c>
      <c r="H422" s="153"/>
      <c r="I422" s="154"/>
      <c r="J422" s="147"/>
      <c r="K422" s="154"/>
    </row>
    <row r="423" ht="22.5" customHeight="1">
      <c r="A423" s="147"/>
      <c r="B423" s="148"/>
      <c r="C423" s="149"/>
      <c r="D423" s="150"/>
      <c r="E423" s="151"/>
      <c r="F423" s="152"/>
      <c r="G423" s="152">
        <f t="shared" si="1"/>
        <v>0</v>
      </c>
      <c r="H423" s="153"/>
      <c r="I423" s="154"/>
      <c r="J423" s="147"/>
      <c r="K423" s="154"/>
    </row>
    <row r="424" ht="22.5" customHeight="1">
      <c r="A424" s="147"/>
      <c r="B424" s="148"/>
      <c r="C424" s="149"/>
      <c r="D424" s="150"/>
      <c r="E424" s="151"/>
      <c r="F424" s="152"/>
      <c r="G424" s="152">
        <f t="shared" si="1"/>
        <v>0</v>
      </c>
      <c r="H424" s="153"/>
      <c r="I424" s="154"/>
      <c r="J424" s="147"/>
      <c r="K424" s="154"/>
    </row>
    <row r="425" ht="22.5" customHeight="1">
      <c r="A425" s="147"/>
      <c r="B425" s="148"/>
      <c r="C425" s="149"/>
      <c r="D425" s="150"/>
      <c r="E425" s="151"/>
      <c r="F425" s="152"/>
      <c r="G425" s="152">
        <f t="shared" si="1"/>
        <v>0</v>
      </c>
      <c r="H425" s="153"/>
      <c r="I425" s="154"/>
      <c r="J425" s="147"/>
      <c r="K425" s="154"/>
    </row>
    <row r="426" ht="22.5" customHeight="1">
      <c r="A426" s="147"/>
      <c r="B426" s="148"/>
      <c r="C426" s="149"/>
      <c r="D426" s="150"/>
      <c r="E426" s="151"/>
      <c r="F426" s="152"/>
      <c r="G426" s="152">
        <f t="shared" si="1"/>
        <v>0</v>
      </c>
      <c r="H426" s="153"/>
      <c r="I426" s="154"/>
      <c r="J426" s="147"/>
      <c r="K426" s="154"/>
    </row>
    <row r="427" ht="22.5" customHeight="1">
      <c r="A427" s="147"/>
      <c r="B427" s="148"/>
      <c r="C427" s="149"/>
      <c r="D427" s="150"/>
      <c r="E427" s="151"/>
      <c r="F427" s="152"/>
      <c r="G427" s="152">
        <f t="shared" si="1"/>
        <v>0</v>
      </c>
      <c r="H427" s="153"/>
      <c r="I427" s="154"/>
      <c r="J427" s="147"/>
      <c r="K427" s="154"/>
    </row>
    <row r="428" ht="22.5" customHeight="1">
      <c r="A428" s="147"/>
      <c r="B428" s="148"/>
      <c r="C428" s="149"/>
      <c r="D428" s="150"/>
      <c r="E428" s="151"/>
      <c r="F428" s="152"/>
      <c r="G428" s="152">
        <f t="shared" si="1"/>
        <v>0</v>
      </c>
      <c r="H428" s="153"/>
      <c r="I428" s="154"/>
      <c r="J428" s="147"/>
      <c r="K428" s="154"/>
    </row>
    <row r="429" ht="22.5" customHeight="1">
      <c r="A429" s="147"/>
      <c r="B429" s="148"/>
      <c r="C429" s="149"/>
      <c r="D429" s="150"/>
      <c r="E429" s="151"/>
      <c r="F429" s="152"/>
      <c r="G429" s="152">
        <f t="shared" si="1"/>
        <v>0</v>
      </c>
      <c r="H429" s="153"/>
      <c r="I429" s="154"/>
      <c r="J429" s="147"/>
      <c r="K429" s="154"/>
    </row>
    <row r="430" ht="22.5" customHeight="1">
      <c r="A430" s="147"/>
      <c r="B430" s="148"/>
      <c r="C430" s="149"/>
      <c r="D430" s="150"/>
      <c r="E430" s="151"/>
      <c r="F430" s="152"/>
      <c r="G430" s="152">
        <f t="shared" si="1"/>
        <v>0</v>
      </c>
      <c r="H430" s="153"/>
      <c r="I430" s="154"/>
      <c r="J430" s="147"/>
      <c r="K430" s="154"/>
    </row>
    <row r="431" ht="22.5" customHeight="1">
      <c r="A431" s="147"/>
      <c r="B431" s="148"/>
      <c r="C431" s="149"/>
      <c r="D431" s="150"/>
      <c r="E431" s="151"/>
      <c r="F431" s="152"/>
      <c r="G431" s="152">
        <f t="shared" si="1"/>
        <v>0</v>
      </c>
      <c r="H431" s="153"/>
      <c r="I431" s="154"/>
      <c r="J431" s="147"/>
      <c r="K431" s="154"/>
    </row>
    <row r="432" ht="22.5" customHeight="1">
      <c r="A432" s="147"/>
      <c r="B432" s="148"/>
      <c r="C432" s="149"/>
      <c r="D432" s="150"/>
      <c r="E432" s="151"/>
      <c r="F432" s="152"/>
      <c r="G432" s="152">
        <f t="shared" si="1"/>
        <v>0</v>
      </c>
      <c r="H432" s="153"/>
      <c r="I432" s="154"/>
      <c r="J432" s="147"/>
      <c r="K432" s="154"/>
    </row>
    <row r="433" ht="22.5" customHeight="1">
      <c r="A433" s="147"/>
      <c r="B433" s="148"/>
      <c r="C433" s="149"/>
      <c r="D433" s="150"/>
      <c r="E433" s="151"/>
      <c r="F433" s="152"/>
      <c r="G433" s="152">
        <f t="shared" si="1"/>
        <v>0</v>
      </c>
      <c r="H433" s="153"/>
      <c r="I433" s="154"/>
      <c r="J433" s="147"/>
      <c r="K433" s="154"/>
    </row>
    <row r="434" ht="22.5" customHeight="1">
      <c r="A434" s="147"/>
      <c r="B434" s="148"/>
      <c r="C434" s="149"/>
      <c r="D434" s="150"/>
      <c r="E434" s="151"/>
      <c r="F434" s="152"/>
      <c r="G434" s="152">
        <f t="shared" si="1"/>
        <v>0</v>
      </c>
      <c r="H434" s="153"/>
      <c r="I434" s="154"/>
      <c r="J434" s="147"/>
      <c r="K434" s="154"/>
    </row>
    <row r="435" ht="22.5" customHeight="1">
      <c r="A435" s="147"/>
      <c r="B435" s="148"/>
      <c r="C435" s="149"/>
      <c r="D435" s="150"/>
      <c r="E435" s="151"/>
      <c r="F435" s="152"/>
      <c r="G435" s="152">
        <f t="shared" si="1"/>
        <v>0</v>
      </c>
      <c r="H435" s="153"/>
      <c r="I435" s="154"/>
      <c r="J435" s="147"/>
      <c r="K435" s="154"/>
    </row>
    <row r="436" ht="22.5" customHeight="1">
      <c r="A436" s="147"/>
      <c r="B436" s="148"/>
      <c r="C436" s="149"/>
      <c r="D436" s="150"/>
      <c r="E436" s="151"/>
      <c r="F436" s="152"/>
      <c r="G436" s="152">
        <f t="shared" si="1"/>
        <v>0</v>
      </c>
      <c r="H436" s="153"/>
      <c r="I436" s="154"/>
      <c r="J436" s="147"/>
      <c r="K436" s="154"/>
    </row>
    <row r="437" ht="22.5" customHeight="1">
      <c r="A437" s="147"/>
      <c r="B437" s="148"/>
      <c r="C437" s="149"/>
      <c r="D437" s="150"/>
      <c r="E437" s="151"/>
      <c r="F437" s="152"/>
      <c r="G437" s="152">
        <f t="shared" si="1"/>
        <v>0</v>
      </c>
      <c r="H437" s="153"/>
      <c r="I437" s="154"/>
      <c r="J437" s="147"/>
      <c r="K437" s="154"/>
    </row>
    <row r="438" ht="22.5" customHeight="1">
      <c r="A438" s="147"/>
      <c r="B438" s="148"/>
      <c r="C438" s="149"/>
      <c r="D438" s="150"/>
      <c r="E438" s="151"/>
      <c r="F438" s="152"/>
      <c r="G438" s="152">
        <f t="shared" si="1"/>
        <v>0</v>
      </c>
      <c r="H438" s="153"/>
      <c r="I438" s="154"/>
      <c r="J438" s="147"/>
      <c r="K438" s="154"/>
    </row>
    <row r="439" ht="22.5" customHeight="1">
      <c r="A439" s="147"/>
      <c r="B439" s="148"/>
      <c r="C439" s="149"/>
      <c r="D439" s="150"/>
      <c r="E439" s="151"/>
      <c r="F439" s="152"/>
      <c r="G439" s="152">
        <f t="shared" si="1"/>
        <v>0</v>
      </c>
      <c r="H439" s="153"/>
      <c r="I439" s="154"/>
      <c r="J439" s="147"/>
      <c r="K439" s="154"/>
    </row>
    <row r="440" ht="22.5" customHeight="1">
      <c r="A440" s="147"/>
      <c r="B440" s="148"/>
      <c r="C440" s="149"/>
      <c r="D440" s="150"/>
      <c r="E440" s="151"/>
      <c r="F440" s="152"/>
      <c r="G440" s="152">
        <f t="shared" si="1"/>
        <v>0</v>
      </c>
      <c r="H440" s="153"/>
      <c r="I440" s="154"/>
      <c r="J440" s="147"/>
      <c r="K440" s="154"/>
    </row>
    <row r="441" ht="22.5" customHeight="1">
      <c r="A441" s="147"/>
      <c r="B441" s="148"/>
      <c r="C441" s="149"/>
      <c r="D441" s="150"/>
      <c r="E441" s="151"/>
      <c r="F441" s="152"/>
      <c r="G441" s="152">
        <f t="shared" si="1"/>
        <v>0</v>
      </c>
      <c r="H441" s="153"/>
      <c r="I441" s="154"/>
      <c r="J441" s="147"/>
      <c r="K441" s="154"/>
    </row>
    <row r="442" ht="22.5" customHeight="1">
      <c r="A442" s="147"/>
      <c r="B442" s="148"/>
      <c r="C442" s="149"/>
      <c r="D442" s="150"/>
      <c r="E442" s="151"/>
      <c r="F442" s="152"/>
      <c r="G442" s="152">
        <f t="shared" si="1"/>
        <v>0</v>
      </c>
      <c r="H442" s="153"/>
      <c r="I442" s="154"/>
      <c r="J442" s="147"/>
      <c r="K442" s="154"/>
    </row>
    <row r="443" ht="22.5" customHeight="1">
      <c r="A443" s="147"/>
      <c r="B443" s="148"/>
      <c r="C443" s="149"/>
      <c r="D443" s="150"/>
      <c r="E443" s="151"/>
      <c r="F443" s="152"/>
      <c r="G443" s="152">
        <f t="shared" si="1"/>
        <v>0</v>
      </c>
      <c r="H443" s="153"/>
      <c r="I443" s="154"/>
      <c r="J443" s="147"/>
      <c r="K443" s="154"/>
    </row>
    <row r="444" ht="22.5" customHeight="1">
      <c r="A444" s="147"/>
      <c r="B444" s="148"/>
      <c r="C444" s="149"/>
      <c r="D444" s="150"/>
      <c r="E444" s="151"/>
      <c r="F444" s="152"/>
      <c r="G444" s="152">
        <f t="shared" si="1"/>
        <v>0</v>
      </c>
      <c r="H444" s="153"/>
      <c r="I444" s="154"/>
      <c r="J444" s="147"/>
      <c r="K444" s="154"/>
    </row>
    <row r="445" ht="22.5" customHeight="1">
      <c r="A445" s="147"/>
      <c r="B445" s="148"/>
      <c r="C445" s="149"/>
      <c r="D445" s="150"/>
      <c r="E445" s="151"/>
      <c r="F445" s="152"/>
      <c r="G445" s="152">
        <f t="shared" si="1"/>
        <v>0</v>
      </c>
      <c r="H445" s="153"/>
      <c r="I445" s="154"/>
      <c r="J445" s="147"/>
      <c r="K445" s="154"/>
    </row>
    <row r="446" ht="22.5" customHeight="1">
      <c r="A446" s="147"/>
      <c r="B446" s="148"/>
      <c r="C446" s="149"/>
      <c r="D446" s="150"/>
      <c r="E446" s="151"/>
      <c r="F446" s="152"/>
      <c r="G446" s="152">
        <f t="shared" si="1"/>
        <v>0</v>
      </c>
      <c r="H446" s="153"/>
      <c r="I446" s="154"/>
      <c r="J446" s="147"/>
      <c r="K446" s="154"/>
    </row>
    <row r="447" ht="22.5" customHeight="1">
      <c r="A447" s="147"/>
      <c r="B447" s="148"/>
      <c r="C447" s="149"/>
      <c r="D447" s="150"/>
      <c r="E447" s="151"/>
      <c r="F447" s="152"/>
      <c r="G447" s="152">
        <f t="shared" si="1"/>
        <v>0</v>
      </c>
      <c r="H447" s="153"/>
      <c r="I447" s="154"/>
      <c r="J447" s="147"/>
      <c r="K447" s="154"/>
    </row>
    <row r="448" ht="22.5" customHeight="1">
      <c r="A448" s="147"/>
      <c r="B448" s="148"/>
      <c r="C448" s="149"/>
      <c r="D448" s="150"/>
      <c r="E448" s="151"/>
      <c r="F448" s="152"/>
      <c r="G448" s="152">
        <f t="shared" si="1"/>
        <v>0</v>
      </c>
      <c r="H448" s="153"/>
      <c r="I448" s="154"/>
      <c r="J448" s="147"/>
      <c r="K448" s="154"/>
    </row>
    <row r="449" ht="22.5" customHeight="1">
      <c r="A449" s="147"/>
      <c r="B449" s="148"/>
      <c r="C449" s="149"/>
      <c r="D449" s="150"/>
      <c r="E449" s="151"/>
      <c r="F449" s="152"/>
      <c r="G449" s="152">
        <f t="shared" si="1"/>
        <v>0</v>
      </c>
      <c r="H449" s="153"/>
      <c r="I449" s="154"/>
      <c r="J449" s="147"/>
      <c r="K449" s="154"/>
    </row>
    <row r="450" ht="22.5" customHeight="1">
      <c r="A450" s="147"/>
      <c r="B450" s="148"/>
      <c r="C450" s="149"/>
      <c r="D450" s="150"/>
      <c r="E450" s="151"/>
      <c r="F450" s="152"/>
      <c r="G450" s="152">
        <f t="shared" si="1"/>
        <v>0</v>
      </c>
      <c r="H450" s="153"/>
      <c r="I450" s="154"/>
      <c r="J450" s="147"/>
      <c r="K450" s="154"/>
    </row>
    <row r="451" ht="22.5" customHeight="1">
      <c r="A451" s="147"/>
      <c r="B451" s="148"/>
      <c r="C451" s="149"/>
      <c r="D451" s="150"/>
      <c r="E451" s="151"/>
      <c r="F451" s="152"/>
      <c r="G451" s="152">
        <f t="shared" si="1"/>
        <v>0</v>
      </c>
      <c r="H451" s="153"/>
      <c r="I451" s="154"/>
      <c r="J451" s="147"/>
      <c r="K451" s="154"/>
    </row>
    <row r="452" ht="22.5" customHeight="1">
      <c r="A452" s="147"/>
      <c r="B452" s="148"/>
      <c r="C452" s="149"/>
      <c r="D452" s="150"/>
      <c r="E452" s="151"/>
      <c r="F452" s="152"/>
      <c r="G452" s="152">
        <f t="shared" si="1"/>
        <v>0</v>
      </c>
      <c r="H452" s="153"/>
      <c r="I452" s="154"/>
      <c r="J452" s="147"/>
      <c r="K452" s="154"/>
    </row>
    <row r="453" ht="22.5" customHeight="1">
      <c r="A453" s="147"/>
      <c r="B453" s="148"/>
      <c r="C453" s="149"/>
      <c r="D453" s="150"/>
      <c r="E453" s="151"/>
      <c r="F453" s="152"/>
      <c r="G453" s="152">
        <f t="shared" si="1"/>
        <v>0</v>
      </c>
      <c r="H453" s="153"/>
      <c r="I453" s="154"/>
      <c r="J453" s="147"/>
      <c r="K453" s="154"/>
    </row>
    <row r="454" ht="22.5" customHeight="1">
      <c r="A454" s="147"/>
      <c r="B454" s="148"/>
      <c r="C454" s="149"/>
      <c r="D454" s="150"/>
      <c r="E454" s="151"/>
      <c r="F454" s="152"/>
      <c r="G454" s="152">
        <f t="shared" si="1"/>
        <v>0</v>
      </c>
      <c r="H454" s="153"/>
      <c r="I454" s="154"/>
      <c r="J454" s="147"/>
      <c r="K454" s="154"/>
    </row>
    <row r="455" ht="22.5" customHeight="1">
      <c r="A455" s="147"/>
      <c r="B455" s="148"/>
      <c r="C455" s="149"/>
      <c r="D455" s="150"/>
      <c r="E455" s="151"/>
      <c r="F455" s="152"/>
      <c r="G455" s="152">
        <f t="shared" si="1"/>
        <v>0</v>
      </c>
      <c r="H455" s="153"/>
      <c r="I455" s="154"/>
      <c r="J455" s="147"/>
      <c r="K455" s="154"/>
    </row>
    <row r="456" ht="22.5" customHeight="1">
      <c r="A456" s="147"/>
      <c r="B456" s="148"/>
      <c r="C456" s="149"/>
      <c r="D456" s="150"/>
      <c r="E456" s="151"/>
      <c r="F456" s="152"/>
      <c r="G456" s="152">
        <f t="shared" si="1"/>
        <v>0</v>
      </c>
      <c r="H456" s="153"/>
      <c r="I456" s="154"/>
      <c r="J456" s="147"/>
      <c r="K456" s="154"/>
    </row>
    <row r="457" ht="22.5" customHeight="1">
      <c r="A457" s="147"/>
      <c r="B457" s="148"/>
      <c r="C457" s="149"/>
      <c r="D457" s="150"/>
      <c r="E457" s="151"/>
      <c r="F457" s="152"/>
      <c r="G457" s="152">
        <f t="shared" si="1"/>
        <v>0</v>
      </c>
      <c r="H457" s="153"/>
      <c r="I457" s="154"/>
      <c r="J457" s="147"/>
      <c r="K457" s="154"/>
    </row>
    <row r="458" ht="22.5" customHeight="1">
      <c r="A458" s="147"/>
      <c r="B458" s="148"/>
      <c r="C458" s="149"/>
      <c r="D458" s="150"/>
      <c r="E458" s="151"/>
      <c r="F458" s="152"/>
      <c r="G458" s="152">
        <f t="shared" si="1"/>
        <v>0</v>
      </c>
      <c r="H458" s="153"/>
      <c r="I458" s="154"/>
      <c r="J458" s="147"/>
      <c r="K458" s="154"/>
    </row>
    <row r="459" ht="22.5" customHeight="1">
      <c r="A459" s="147"/>
      <c r="B459" s="148"/>
      <c r="C459" s="149"/>
      <c r="D459" s="150"/>
      <c r="E459" s="151"/>
      <c r="F459" s="152"/>
      <c r="G459" s="152">
        <f t="shared" si="1"/>
        <v>0</v>
      </c>
      <c r="H459" s="153"/>
      <c r="I459" s="154"/>
      <c r="J459" s="147"/>
      <c r="K459" s="154"/>
    </row>
    <row r="460" ht="22.5" customHeight="1">
      <c r="A460" s="147"/>
      <c r="B460" s="148"/>
      <c r="C460" s="149"/>
      <c r="D460" s="150"/>
      <c r="E460" s="151"/>
      <c r="F460" s="152"/>
      <c r="G460" s="152">
        <f t="shared" si="1"/>
        <v>0</v>
      </c>
      <c r="H460" s="153"/>
      <c r="I460" s="154"/>
      <c r="J460" s="147"/>
      <c r="K460" s="154"/>
    </row>
    <row r="461" ht="22.5" customHeight="1">
      <c r="A461" s="147"/>
      <c r="B461" s="148"/>
      <c r="C461" s="149"/>
      <c r="D461" s="150"/>
      <c r="E461" s="151"/>
      <c r="F461" s="152"/>
      <c r="G461" s="152">
        <f t="shared" si="1"/>
        <v>0</v>
      </c>
      <c r="H461" s="153"/>
      <c r="I461" s="154"/>
      <c r="J461" s="147"/>
      <c r="K461" s="154"/>
    </row>
    <row r="462" ht="22.5" customHeight="1">
      <c r="A462" s="147"/>
      <c r="B462" s="148"/>
      <c r="C462" s="149"/>
      <c r="D462" s="150"/>
      <c r="E462" s="151"/>
      <c r="F462" s="152"/>
      <c r="G462" s="152">
        <f t="shared" si="1"/>
        <v>0</v>
      </c>
      <c r="H462" s="153"/>
      <c r="I462" s="154"/>
      <c r="J462" s="147"/>
      <c r="K462" s="154"/>
    </row>
    <row r="463" ht="22.5" customHeight="1">
      <c r="A463" s="147"/>
      <c r="B463" s="148"/>
      <c r="C463" s="149"/>
      <c r="D463" s="150"/>
      <c r="E463" s="151"/>
      <c r="F463" s="152"/>
      <c r="G463" s="152">
        <f t="shared" si="1"/>
        <v>0</v>
      </c>
      <c r="H463" s="153"/>
      <c r="I463" s="154"/>
      <c r="J463" s="147"/>
      <c r="K463" s="154"/>
    </row>
    <row r="464" ht="22.5" customHeight="1">
      <c r="A464" s="147"/>
      <c r="B464" s="148"/>
      <c r="C464" s="149"/>
      <c r="D464" s="150"/>
      <c r="E464" s="151"/>
      <c r="F464" s="152"/>
      <c r="G464" s="152">
        <f t="shared" si="1"/>
        <v>0</v>
      </c>
      <c r="H464" s="153"/>
      <c r="I464" s="154"/>
      <c r="J464" s="147"/>
      <c r="K464" s="154"/>
    </row>
    <row r="465" ht="22.5" customHeight="1">
      <c r="A465" s="147"/>
      <c r="B465" s="148"/>
      <c r="C465" s="149"/>
      <c r="D465" s="150"/>
      <c r="E465" s="151"/>
      <c r="F465" s="152"/>
      <c r="G465" s="152">
        <f t="shared" si="1"/>
        <v>0</v>
      </c>
      <c r="H465" s="153"/>
      <c r="I465" s="154"/>
      <c r="J465" s="147"/>
      <c r="K465" s="154"/>
    </row>
    <row r="466" ht="22.5" customHeight="1">
      <c r="A466" s="147"/>
      <c r="B466" s="148"/>
      <c r="C466" s="149"/>
      <c r="D466" s="150"/>
      <c r="E466" s="151"/>
      <c r="F466" s="152"/>
      <c r="G466" s="152">
        <f t="shared" si="1"/>
        <v>0</v>
      </c>
      <c r="H466" s="153"/>
      <c r="I466" s="154"/>
      <c r="J466" s="147"/>
      <c r="K466" s="154"/>
    </row>
    <row r="467" ht="22.5" customHeight="1">
      <c r="A467" s="147"/>
      <c r="B467" s="148"/>
      <c r="C467" s="149"/>
      <c r="D467" s="150"/>
      <c r="E467" s="151"/>
      <c r="F467" s="152"/>
      <c r="G467" s="152">
        <f t="shared" si="1"/>
        <v>0</v>
      </c>
      <c r="H467" s="153"/>
      <c r="I467" s="154"/>
      <c r="J467" s="147"/>
      <c r="K467" s="154"/>
    </row>
    <row r="468" ht="22.5" customHeight="1">
      <c r="A468" s="147"/>
      <c r="B468" s="148"/>
      <c r="C468" s="149"/>
      <c r="D468" s="150"/>
      <c r="E468" s="151"/>
      <c r="F468" s="152"/>
      <c r="G468" s="152">
        <f t="shared" si="1"/>
        <v>0</v>
      </c>
      <c r="H468" s="153"/>
      <c r="I468" s="154"/>
      <c r="J468" s="147"/>
      <c r="K468" s="154"/>
    </row>
    <row r="469" ht="22.5" customHeight="1">
      <c r="A469" s="147"/>
      <c r="B469" s="148"/>
      <c r="C469" s="149"/>
      <c r="D469" s="150"/>
      <c r="E469" s="151"/>
      <c r="F469" s="152"/>
      <c r="G469" s="152">
        <f t="shared" si="1"/>
        <v>0</v>
      </c>
      <c r="H469" s="153"/>
      <c r="I469" s="154"/>
      <c r="J469" s="147"/>
      <c r="K469" s="154"/>
    </row>
    <row r="470" ht="22.5" customHeight="1">
      <c r="A470" s="147"/>
      <c r="B470" s="148"/>
      <c r="C470" s="149"/>
      <c r="D470" s="150"/>
      <c r="E470" s="151"/>
      <c r="F470" s="152"/>
      <c r="G470" s="152">
        <f t="shared" si="1"/>
        <v>0</v>
      </c>
      <c r="H470" s="153"/>
      <c r="I470" s="154"/>
      <c r="J470" s="147"/>
      <c r="K470" s="154"/>
    </row>
    <row r="471" ht="22.5" customHeight="1">
      <c r="A471" s="147"/>
      <c r="B471" s="148"/>
      <c r="C471" s="149"/>
      <c r="D471" s="150"/>
      <c r="E471" s="151"/>
      <c r="F471" s="152"/>
      <c r="G471" s="152">
        <f t="shared" si="1"/>
        <v>0</v>
      </c>
      <c r="H471" s="153"/>
      <c r="I471" s="154"/>
      <c r="J471" s="147"/>
      <c r="K471" s="154"/>
    </row>
    <row r="472" ht="22.5" customHeight="1">
      <c r="A472" s="147"/>
      <c r="B472" s="148"/>
      <c r="C472" s="149"/>
      <c r="D472" s="150"/>
      <c r="E472" s="151"/>
      <c r="F472" s="152"/>
      <c r="G472" s="152">
        <f t="shared" si="1"/>
        <v>0</v>
      </c>
      <c r="H472" s="153"/>
      <c r="I472" s="154"/>
      <c r="J472" s="147"/>
      <c r="K472" s="154"/>
    </row>
    <row r="473" ht="22.5" customHeight="1">
      <c r="A473" s="147"/>
      <c r="B473" s="148"/>
      <c r="C473" s="149"/>
      <c r="D473" s="150"/>
      <c r="E473" s="151"/>
      <c r="F473" s="152"/>
      <c r="G473" s="152">
        <f t="shared" si="1"/>
        <v>0</v>
      </c>
      <c r="H473" s="153"/>
      <c r="I473" s="154"/>
      <c r="J473" s="147"/>
      <c r="K473" s="154"/>
    </row>
    <row r="474" ht="22.5" customHeight="1">
      <c r="A474" s="147"/>
      <c r="B474" s="148"/>
      <c r="C474" s="149"/>
      <c r="D474" s="150"/>
      <c r="E474" s="151"/>
      <c r="F474" s="152"/>
      <c r="G474" s="152">
        <f t="shared" si="1"/>
        <v>0</v>
      </c>
      <c r="H474" s="153"/>
      <c r="I474" s="154"/>
      <c r="J474" s="147"/>
      <c r="K474" s="154"/>
    </row>
    <row r="475" ht="22.5" customHeight="1">
      <c r="A475" s="147"/>
      <c r="B475" s="148"/>
      <c r="C475" s="149"/>
      <c r="D475" s="150"/>
      <c r="E475" s="151"/>
      <c r="F475" s="152"/>
      <c r="G475" s="152">
        <f t="shared" si="1"/>
        <v>0</v>
      </c>
      <c r="H475" s="153"/>
      <c r="I475" s="154"/>
      <c r="J475" s="147"/>
      <c r="K475" s="154"/>
    </row>
    <row r="476" ht="22.5" customHeight="1">
      <c r="A476" s="147"/>
      <c r="B476" s="148"/>
      <c r="C476" s="149"/>
      <c r="D476" s="150"/>
      <c r="E476" s="151"/>
      <c r="F476" s="152"/>
      <c r="G476" s="152">
        <f t="shared" si="1"/>
        <v>0</v>
      </c>
      <c r="H476" s="153"/>
      <c r="I476" s="154"/>
      <c r="J476" s="147"/>
      <c r="K476" s="154"/>
    </row>
    <row r="477" ht="22.5" customHeight="1">
      <c r="A477" s="147"/>
      <c r="B477" s="148"/>
      <c r="C477" s="149"/>
      <c r="D477" s="150"/>
      <c r="E477" s="151"/>
      <c r="F477" s="152"/>
      <c r="G477" s="152">
        <f t="shared" si="1"/>
        <v>0</v>
      </c>
      <c r="H477" s="153"/>
      <c r="I477" s="154"/>
      <c r="J477" s="147"/>
      <c r="K477" s="154"/>
    </row>
    <row r="478" ht="22.5" customHeight="1">
      <c r="A478" s="147"/>
      <c r="B478" s="148"/>
      <c r="C478" s="149"/>
      <c r="D478" s="150"/>
      <c r="E478" s="151"/>
      <c r="F478" s="152"/>
      <c r="G478" s="152">
        <f t="shared" si="1"/>
        <v>0</v>
      </c>
      <c r="H478" s="153"/>
      <c r="I478" s="154"/>
      <c r="J478" s="147"/>
      <c r="K478" s="154"/>
    </row>
    <row r="479" ht="22.5" customHeight="1">
      <c r="A479" s="147"/>
      <c r="B479" s="148"/>
      <c r="C479" s="149"/>
      <c r="D479" s="150"/>
      <c r="E479" s="151"/>
      <c r="F479" s="152"/>
      <c r="G479" s="152">
        <f t="shared" si="1"/>
        <v>0</v>
      </c>
      <c r="H479" s="153"/>
      <c r="I479" s="154"/>
      <c r="J479" s="147"/>
      <c r="K479" s="154"/>
    </row>
    <row r="480" ht="22.5" customHeight="1">
      <c r="A480" s="147"/>
      <c r="B480" s="148"/>
      <c r="C480" s="149"/>
      <c r="D480" s="150"/>
      <c r="E480" s="151"/>
      <c r="F480" s="152"/>
      <c r="G480" s="152">
        <f t="shared" si="1"/>
        <v>0</v>
      </c>
      <c r="H480" s="153"/>
      <c r="I480" s="154"/>
      <c r="J480" s="147"/>
      <c r="K480" s="154"/>
    </row>
    <row r="481" ht="22.5" customHeight="1">
      <c r="A481" s="147"/>
      <c r="B481" s="148"/>
      <c r="C481" s="149"/>
      <c r="D481" s="150"/>
      <c r="E481" s="151"/>
      <c r="F481" s="152"/>
      <c r="G481" s="152">
        <f t="shared" si="1"/>
        <v>0</v>
      </c>
      <c r="H481" s="153"/>
      <c r="I481" s="154"/>
      <c r="J481" s="147"/>
      <c r="K481" s="154"/>
    </row>
    <row r="482" ht="22.5" customHeight="1">
      <c r="A482" s="147"/>
      <c r="B482" s="148"/>
      <c r="C482" s="149"/>
      <c r="D482" s="150"/>
      <c r="E482" s="151"/>
      <c r="F482" s="152"/>
      <c r="G482" s="152">
        <f t="shared" si="1"/>
        <v>0</v>
      </c>
      <c r="H482" s="153"/>
      <c r="I482" s="154"/>
      <c r="J482" s="147"/>
      <c r="K482" s="154"/>
    </row>
    <row r="483" ht="22.5" customHeight="1">
      <c r="A483" s="147"/>
      <c r="B483" s="148"/>
      <c r="C483" s="149"/>
      <c r="D483" s="150"/>
      <c r="E483" s="151"/>
      <c r="F483" s="152"/>
      <c r="G483" s="152">
        <f t="shared" si="1"/>
        <v>0</v>
      </c>
      <c r="H483" s="153"/>
      <c r="I483" s="154"/>
      <c r="J483" s="147"/>
      <c r="K483" s="154"/>
    </row>
    <row r="484" ht="22.5" customHeight="1">
      <c r="A484" s="147"/>
      <c r="B484" s="148"/>
      <c r="C484" s="149"/>
      <c r="D484" s="150"/>
      <c r="E484" s="151"/>
      <c r="F484" s="152"/>
      <c r="G484" s="152">
        <f t="shared" si="1"/>
        <v>0</v>
      </c>
      <c r="H484" s="153"/>
      <c r="I484" s="154"/>
      <c r="J484" s="147"/>
      <c r="K484" s="154"/>
    </row>
    <row r="485" ht="22.5" customHeight="1">
      <c r="A485" s="147"/>
      <c r="B485" s="148"/>
      <c r="C485" s="149"/>
      <c r="D485" s="150"/>
      <c r="E485" s="151"/>
      <c r="F485" s="152"/>
      <c r="G485" s="152">
        <f t="shared" si="1"/>
        <v>0</v>
      </c>
      <c r="H485" s="153"/>
      <c r="I485" s="154"/>
      <c r="J485" s="147"/>
      <c r="K485" s="154"/>
    </row>
    <row r="486" ht="22.5" customHeight="1">
      <c r="A486" s="147"/>
      <c r="B486" s="148"/>
      <c r="C486" s="149"/>
      <c r="D486" s="150"/>
      <c r="E486" s="151"/>
      <c r="F486" s="152"/>
      <c r="G486" s="152">
        <f t="shared" si="1"/>
        <v>0</v>
      </c>
      <c r="H486" s="153"/>
      <c r="I486" s="154"/>
      <c r="J486" s="147"/>
      <c r="K486" s="154"/>
    </row>
    <row r="487" ht="22.5" customHeight="1">
      <c r="A487" s="147"/>
      <c r="B487" s="148"/>
      <c r="C487" s="149"/>
      <c r="D487" s="150"/>
      <c r="E487" s="151"/>
      <c r="F487" s="152"/>
      <c r="G487" s="152">
        <f t="shared" si="1"/>
        <v>0</v>
      </c>
      <c r="H487" s="153"/>
      <c r="I487" s="154"/>
      <c r="J487" s="147"/>
      <c r="K487" s="154"/>
    </row>
    <row r="488" ht="22.5" customHeight="1">
      <c r="A488" s="147"/>
      <c r="B488" s="148"/>
      <c r="C488" s="149"/>
      <c r="D488" s="150"/>
      <c r="E488" s="151"/>
      <c r="F488" s="152"/>
      <c r="G488" s="152">
        <f t="shared" si="1"/>
        <v>0</v>
      </c>
      <c r="H488" s="153"/>
      <c r="I488" s="154"/>
      <c r="J488" s="147"/>
      <c r="K488" s="154"/>
    </row>
    <row r="489" ht="22.5" customHeight="1">
      <c r="A489" s="147"/>
      <c r="B489" s="148"/>
      <c r="C489" s="149"/>
      <c r="D489" s="150"/>
      <c r="E489" s="151"/>
      <c r="F489" s="152"/>
      <c r="G489" s="152">
        <f t="shared" si="1"/>
        <v>0</v>
      </c>
      <c r="H489" s="153"/>
      <c r="I489" s="154"/>
      <c r="J489" s="147"/>
      <c r="K489" s="154"/>
    </row>
    <row r="490" ht="22.5" customHeight="1">
      <c r="A490" s="147"/>
      <c r="B490" s="148"/>
      <c r="C490" s="149"/>
      <c r="D490" s="150"/>
      <c r="E490" s="151"/>
      <c r="F490" s="152"/>
      <c r="G490" s="152">
        <f t="shared" si="1"/>
        <v>0</v>
      </c>
      <c r="H490" s="153"/>
      <c r="I490" s="154"/>
      <c r="J490" s="147"/>
      <c r="K490" s="154"/>
    </row>
    <row r="491" ht="22.5" customHeight="1">
      <c r="A491" s="147"/>
      <c r="B491" s="148"/>
      <c r="C491" s="149"/>
      <c r="D491" s="150"/>
      <c r="E491" s="151"/>
      <c r="F491" s="152"/>
      <c r="G491" s="152">
        <f t="shared" si="1"/>
        <v>0</v>
      </c>
      <c r="H491" s="153"/>
      <c r="I491" s="154"/>
      <c r="J491" s="147"/>
      <c r="K491" s="154"/>
    </row>
    <row r="492" ht="22.5" customHeight="1">
      <c r="A492" s="147"/>
      <c r="B492" s="148"/>
      <c r="C492" s="149"/>
      <c r="D492" s="150"/>
      <c r="E492" s="151"/>
      <c r="F492" s="152"/>
      <c r="G492" s="152">
        <f t="shared" si="1"/>
        <v>0</v>
      </c>
      <c r="H492" s="153"/>
      <c r="I492" s="154"/>
      <c r="J492" s="147"/>
      <c r="K492" s="154"/>
    </row>
    <row r="493" ht="22.5" customHeight="1">
      <c r="A493" s="147"/>
      <c r="B493" s="148"/>
      <c r="C493" s="149"/>
      <c r="D493" s="150"/>
      <c r="E493" s="151"/>
      <c r="F493" s="152"/>
      <c r="G493" s="152">
        <f t="shared" si="1"/>
        <v>0</v>
      </c>
      <c r="H493" s="153"/>
      <c r="I493" s="154"/>
      <c r="J493" s="147"/>
      <c r="K493" s="154"/>
    </row>
    <row r="494" ht="22.5" customHeight="1">
      <c r="A494" s="147"/>
      <c r="B494" s="148"/>
      <c r="C494" s="149"/>
      <c r="D494" s="150"/>
      <c r="E494" s="151"/>
      <c r="F494" s="152"/>
      <c r="G494" s="152">
        <f t="shared" si="1"/>
        <v>0</v>
      </c>
      <c r="H494" s="153"/>
      <c r="I494" s="154"/>
      <c r="J494" s="147"/>
      <c r="K494" s="154"/>
    </row>
    <row r="495" ht="22.5" customHeight="1">
      <c r="A495" s="147"/>
      <c r="B495" s="148"/>
      <c r="C495" s="149"/>
      <c r="D495" s="150"/>
      <c r="E495" s="151"/>
      <c r="F495" s="152"/>
      <c r="G495" s="152">
        <f t="shared" si="1"/>
        <v>0</v>
      </c>
      <c r="H495" s="153"/>
      <c r="I495" s="154"/>
      <c r="J495" s="147"/>
      <c r="K495" s="154"/>
    </row>
    <row r="496" ht="22.5" customHeight="1">
      <c r="A496" s="147"/>
      <c r="B496" s="148"/>
      <c r="C496" s="149"/>
      <c r="D496" s="150"/>
      <c r="E496" s="151"/>
      <c r="F496" s="152"/>
      <c r="G496" s="152">
        <f t="shared" si="1"/>
        <v>0</v>
      </c>
      <c r="H496" s="153"/>
      <c r="I496" s="154"/>
      <c r="J496" s="147"/>
      <c r="K496" s="154"/>
    </row>
    <row r="497" ht="22.5" customHeight="1">
      <c r="A497" s="147"/>
      <c r="B497" s="148"/>
      <c r="C497" s="149"/>
      <c r="D497" s="150"/>
      <c r="E497" s="151"/>
      <c r="F497" s="152"/>
      <c r="G497" s="152">
        <f t="shared" si="1"/>
        <v>0</v>
      </c>
      <c r="H497" s="153"/>
      <c r="I497" s="154"/>
      <c r="J497" s="147"/>
      <c r="K497" s="154"/>
    </row>
    <row r="498" ht="22.5" customHeight="1">
      <c r="A498" s="147"/>
      <c r="B498" s="148"/>
      <c r="C498" s="149"/>
      <c r="D498" s="150"/>
      <c r="E498" s="151"/>
      <c r="F498" s="152"/>
      <c r="G498" s="152">
        <f t="shared" si="1"/>
        <v>0</v>
      </c>
      <c r="H498" s="153"/>
      <c r="I498" s="154"/>
      <c r="J498" s="147"/>
      <c r="K498" s="154"/>
    </row>
    <row r="499" ht="22.5" customHeight="1">
      <c r="A499" s="147"/>
      <c r="B499" s="148"/>
      <c r="C499" s="149"/>
      <c r="D499" s="150"/>
      <c r="E499" s="151"/>
      <c r="F499" s="152"/>
      <c r="G499" s="152">
        <f t="shared" si="1"/>
        <v>0</v>
      </c>
      <c r="H499" s="153"/>
      <c r="I499" s="154"/>
      <c r="J499" s="147"/>
      <c r="K499" s="154"/>
    </row>
    <row r="500" ht="22.5" customHeight="1">
      <c r="A500" s="147"/>
      <c r="B500" s="148"/>
      <c r="C500" s="149"/>
      <c r="D500" s="150"/>
      <c r="E500" s="151"/>
      <c r="F500" s="152"/>
      <c r="G500" s="152">
        <f t="shared" si="1"/>
        <v>0</v>
      </c>
      <c r="H500" s="153"/>
      <c r="I500" s="154"/>
      <c r="J500" s="147"/>
      <c r="K500" s="154"/>
    </row>
    <row r="501" ht="22.5" customHeight="1">
      <c r="A501" s="147"/>
      <c r="B501" s="148"/>
      <c r="C501" s="149"/>
      <c r="D501" s="150"/>
      <c r="E501" s="151"/>
      <c r="F501" s="152"/>
      <c r="G501" s="152">
        <f t="shared" si="1"/>
        <v>0</v>
      </c>
      <c r="H501" s="153"/>
      <c r="I501" s="154"/>
      <c r="J501" s="147"/>
      <c r="K501" s="154"/>
    </row>
    <row r="502" ht="22.5" customHeight="1">
      <c r="A502" s="147"/>
      <c r="B502" s="148"/>
      <c r="C502" s="149"/>
      <c r="D502" s="150"/>
      <c r="E502" s="151"/>
      <c r="F502" s="152"/>
      <c r="G502" s="152">
        <f t="shared" si="1"/>
        <v>0</v>
      </c>
      <c r="H502" s="153"/>
      <c r="I502" s="154"/>
      <c r="J502" s="147"/>
      <c r="K502" s="154"/>
    </row>
    <row r="503" ht="22.5" customHeight="1">
      <c r="A503" s="147"/>
      <c r="B503" s="148"/>
      <c r="C503" s="149"/>
      <c r="D503" s="150"/>
      <c r="E503" s="151"/>
      <c r="F503" s="152"/>
      <c r="G503" s="152">
        <f t="shared" si="1"/>
        <v>0</v>
      </c>
      <c r="H503" s="153"/>
      <c r="I503" s="154"/>
      <c r="J503" s="147"/>
      <c r="K503" s="154"/>
    </row>
    <row r="504" ht="22.5" customHeight="1">
      <c r="A504" s="147"/>
      <c r="B504" s="148"/>
      <c r="C504" s="149"/>
      <c r="D504" s="150"/>
      <c r="E504" s="151"/>
      <c r="F504" s="152"/>
      <c r="G504" s="152">
        <f t="shared" si="1"/>
        <v>0</v>
      </c>
      <c r="H504" s="153"/>
      <c r="I504" s="154"/>
      <c r="J504" s="147"/>
      <c r="K504" s="154"/>
    </row>
    <row r="505" ht="22.5" customHeight="1">
      <c r="A505" s="147"/>
      <c r="B505" s="148"/>
      <c r="C505" s="149"/>
      <c r="D505" s="150"/>
      <c r="E505" s="151"/>
      <c r="F505" s="152"/>
      <c r="G505" s="152">
        <f t="shared" si="1"/>
        <v>0</v>
      </c>
      <c r="H505" s="153"/>
      <c r="I505" s="154"/>
      <c r="J505" s="147"/>
      <c r="K505" s="154"/>
    </row>
    <row r="506" ht="22.5" customHeight="1">
      <c r="A506" s="147"/>
      <c r="B506" s="148"/>
      <c r="C506" s="149"/>
      <c r="D506" s="150"/>
      <c r="E506" s="151"/>
      <c r="F506" s="152"/>
      <c r="G506" s="152">
        <f t="shared" si="1"/>
        <v>0</v>
      </c>
      <c r="H506" s="153"/>
      <c r="I506" s="154"/>
      <c r="J506" s="147"/>
      <c r="K506" s="154"/>
    </row>
    <row r="507" ht="22.5" customHeight="1">
      <c r="A507" s="147"/>
      <c r="B507" s="148"/>
      <c r="C507" s="149"/>
      <c r="D507" s="150"/>
      <c r="E507" s="151"/>
      <c r="F507" s="152"/>
      <c r="G507" s="152">
        <f t="shared" si="1"/>
        <v>0</v>
      </c>
      <c r="H507" s="153"/>
      <c r="I507" s="154"/>
      <c r="J507" s="147"/>
      <c r="K507" s="154"/>
    </row>
    <row r="508" ht="22.5" customHeight="1">
      <c r="A508" s="147"/>
      <c r="B508" s="148"/>
      <c r="C508" s="149"/>
      <c r="D508" s="150"/>
      <c r="E508" s="151"/>
      <c r="F508" s="152"/>
      <c r="G508" s="152">
        <f t="shared" si="1"/>
        <v>0</v>
      </c>
      <c r="H508" s="153"/>
      <c r="I508" s="154"/>
      <c r="J508" s="147"/>
      <c r="K508" s="154"/>
    </row>
    <row r="509" ht="22.5" customHeight="1">
      <c r="A509" s="147"/>
      <c r="B509" s="148"/>
      <c r="C509" s="149"/>
      <c r="D509" s="150"/>
      <c r="E509" s="151"/>
      <c r="F509" s="152"/>
      <c r="G509" s="152">
        <f t="shared" si="1"/>
        <v>0</v>
      </c>
      <c r="H509" s="153"/>
      <c r="I509" s="154"/>
      <c r="J509" s="147"/>
      <c r="K509" s="154"/>
    </row>
    <row r="510" ht="22.5" customHeight="1">
      <c r="A510" s="147"/>
      <c r="B510" s="148"/>
      <c r="C510" s="149"/>
      <c r="D510" s="150"/>
      <c r="E510" s="151"/>
      <c r="F510" s="152"/>
      <c r="G510" s="152">
        <f t="shared" si="1"/>
        <v>0</v>
      </c>
      <c r="H510" s="153"/>
      <c r="I510" s="154"/>
      <c r="J510" s="147"/>
      <c r="K510" s="154"/>
    </row>
    <row r="511" ht="22.5" customHeight="1">
      <c r="A511" s="147"/>
      <c r="B511" s="148"/>
      <c r="C511" s="149"/>
      <c r="D511" s="150"/>
      <c r="E511" s="151"/>
      <c r="F511" s="152"/>
      <c r="G511" s="152">
        <f t="shared" si="1"/>
        <v>0</v>
      </c>
      <c r="H511" s="153"/>
      <c r="I511" s="154"/>
      <c r="J511" s="147"/>
      <c r="K511" s="154"/>
    </row>
    <row r="512" ht="22.5" customHeight="1">
      <c r="A512" s="147"/>
      <c r="B512" s="148"/>
      <c r="C512" s="149"/>
      <c r="D512" s="150"/>
      <c r="E512" s="151"/>
      <c r="F512" s="152"/>
      <c r="G512" s="152">
        <f t="shared" si="1"/>
        <v>0</v>
      </c>
      <c r="H512" s="153"/>
      <c r="I512" s="154"/>
      <c r="J512" s="147"/>
      <c r="K512" s="154"/>
    </row>
    <row r="513" ht="22.5" customHeight="1">
      <c r="A513" s="147"/>
      <c r="B513" s="148"/>
      <c r="C513" s="149"/>
      <c r="D513" s="150"/>
      <c r="E513" s="151"/>
      <c r="F513" s="152"/>
      <c r="G513" s="152">
        <f t="shared" si="1"/>
        <v>0</v>
      </c>
      <c r="H513" s="153"/>
      <c r="I513" s="154"/>
      <c r="J513" s="147"/>
      <c r="K513" s="154"/>
    </row>
    <row r="514" ht="22.5" customHeight="1">
      <c r="A514" s="147"/>
      <c r="B514" s="148"/>
      <c r="C514" s="149"/>
      <c r="D514" s="150"/>
      <c r="E514" s="151"/>
      <c r="F514" s="152"/>
      <c r="G514" s="152">
        <f t="shared" si="1"/>
        <v>0</v>
      </c>
      <c r="H514" s="153"/>
      <c r="I514" s="154"/>
      <c r="J514" s="147"/>
      <c r="K514" s="154"/>
    </row>
    <row r="515" ht="22.5" customHeight="1">
      <c r="A515" s="147"/>
      <c r="B515" s="148"/>
      <c r="C515" s="149"/>
      <c r="D515" s="150"/>
      <c r="E515" s="151"/>
      <c r="F515" s="152"/>
      <c r="G515" s="152">
        <f t="shared" si="1"/>
        <v>0</v>
      </c>
      <c r="H515" s="153"/>
      <c r="I515" s="154"/>
      <c r="J515" s="147"/>
      <c r="K515" s="154"/>
    </row>
    <row r="516" ht="22.5" customHeight="1">
      <c r="A516" s="147"/>
      <c r="B516" s="148"/>
      <c r="C516" s="149"/>
      <c r="D516" s="150"/>
      <c r="E516" s="151"/>
      <c r="F516" s="152"/>
      <c r="G516" s="152">
        <f t="shared" si="1"/>
        <v>0</v>
      </c>
      <c r="H516" s="153"/>
      <c r="I516" s="154"/>
      <c r="J516" s="147"/>
      <c r="K516" s="154"/>
    </row>
    <row r="517" ht="22.5" customHeight="1">
      <c r="A517" s="147"/>
      <c r="B517" s="148"/>
      <c r="C517" s="149"/>
      <c r="D517" s="150"/>
      <c r="E517" s="151"/>
      <c r="F517" s="152"/>
      <c r="G517" s="152">
        <f t="shared" si="1"/>
        <v>0</v>
      </c>
      <c r="H517" s="153"/>
      <c r="I517" s="154"/>
      <c r="J517" s="147"/>
      <c r="K517" s="154"/>
    </row>
    <row r="518" ht="22.5" customHeight="1">
      <c r="A518" s="147"/>
      <c r="B518" s="148"/>
      <c r="C518" s="149"/>
      <c r="D518" s="150"/>
      <c r="E518" s="151"/>
      <c r="F518" s="152"/>
      <c r="G518" s="152">
        <f t="shared" si="1"/>
        <v>0</v>
      </c>
      <c r="H518" s="153"/>
      <c r="I518" s="154"/>
      <c r="J518" s="147"/>
      <c r="K518" s="154"/>
    </row>
    <row r="519" ht="22.5" customHeight="1">
      <c r="A519" s="147"/>
      <c r="B519" s="148"/>
      <c r="C519" s="149"/>
      <c r="D519" s="150"/>
      <c r="E519" s="151"/>
      <c r="F519" s="152"/>
      <c r="G519" s="152">
        <f t="shared" si="1"/>
        <v>0</v>
      </c>
      <c r="H519" s="153"/>
      <c r="I519" s="154"/>
      <c r="J519" s="147"/>
      <c r="K519" s="154"/>
    </row>
    <row r="520" ht="22.5" customHeight="1">
      <c r="A520" s="147"/>
      <c r="B520" s="148"/>
      <c r="C520" s="149"/>
      <c r="D520" s="150"/>
      <c r="E520" s="151"/>
      <c r="F520" s="152"/>
      <c r="G520" s="152">
        <f t="shared" si="1"/>
        <v>0</v>
      </c>
      <c r="H520" s="153"/>
      <c r="I520" s="154"/>
      <c r="J520" s="147"/>
      <c r="K520" s="154"/>
    </row>
    <row r="521" ht="22.5" customHeight="1">
      <c r="A521" s="147"/>
      <c r="B521" s="148"/>
      <c r="C521" s="149"/>
      <c r="D521" s="150"/>
      <c r="E521" s="151"/>
      <c r="F521" s="152"/>
      <c r="G521" s="152">
        <f t="shared" si="1"/>
        <v>0</v>
      </c>
      <c r="H521" s="153"/>
      <c r="I521" s="154"/>
      <c r="J521" s="147"/>
      <c r="K521" s="154"/>
    </row>
    <row r="522" ht="22.5" customHeight="1">
      <c r="A522" s="147"/>
      <c r="B522" s="148"/>
      <c r="C522" s="149"/>
      <c r="D522" s="150"/>
      <c r="E522" s="151"/>
      <c r="F522" s="152"/>
      <c r="G522" s="152">
        <f t="shared" si="1"/>
        <v>0</v>
      </c>
      <c r="H522" s="153"/>
      <c r="I522" s="154"/>
      <c r="J522" s="147"/>
      <c r="K522" s="154"/>
    </row>
    <row r="523" ht="22.5" customHeight="1">
      <c r="A523" s="147"/>
      <c r="B523" s="148"/>
      <c r="C523" s="149"/>
      <c r="D523" s="150"/>
      <c r="E523" s="151"/>
      <c r="F523" s="152"/>
      <c r="G523" s="152">
        <f t="shared" si="1"/>
        <v>0</v>
      </c>
      <c r="H523" s="153"/>
      <c r="I523" s="154"/>
      <c r="J523" s="147"/>
      <c r="K523" s="154"/>
    </row>
    <row r="524" ht="22.5" customHeight="1">
      <c r="A524" s="147"/>
      <c r="B524" s="148"/>
      <c r="C524" s="149"/>
      <c r="D524" s="150"/>
      <c r="E524" s="151"/>
      <c r="F524" s="152"/>
      <c r="G524" s="152">
        <f t="shared" si="1"/>
        <v>0</v>
      </c>
      <c r="H524" s="153"/>
      <c r="I524" s="154"/>
      <c r="J524" s="147"/>
      <c r="K524" s="154"/>
    </row>
    <row r="525" ht="22.5" customHeight="1">
      <c r="A525" s="147"/>
      <c r="B525" s="148"/>
      <c r="C525" s="149"/>
      <c r="D525" s="150"/>
      <c r="E525" s="151"/>
      <c r="F525" s="152"/>
      <c r="G525" s="152">
        <f t="shared" si="1"/>
        <v>0</v>
      </c>
      <c r="H525" s="153"/>
      <c r="I525" s="154"/>
      <c r="J525" s="147"/>
      <c r="K525" s="154"/>
    </row>
    <row r="526" ht="22.5" customHeight="1">
      <c r="A526" s="147"/>
      <c r="B526" s="148"/>
      <c r="C526" s="149"/>
      <c r="D526" s="150"/>
      <c r="E526" s="151"/>
      <c r="F526" s="152"/>
      <c r="G526" s="152">
        <f t="shared" si="1"/>
        <v>0</v>
      </c>
      <c r="H526" s="153"/>
      <c r="I526" s="154"/>
      <c r="J526" s="147"/>
      <c r="K526" s="154"/>
    </row>
    <row r="527" ht="22.5" customHeight="1">
      <c r="A527" s="147"/>
      <c r="B527" s="148"/>
      <c r="C527" s="149"/>
      <c r="D527" s="150"/>
      <c r="E527" s="151"/>
      <c r="F527" s="152"/>
      <c r="G527" s="152">
        <f t="shared" si="1"/>
        <v>0</v>
      </c>
      <c r="H527" s="153"/>
      <c r="I527" s="154"/>
      <c r="J527" s="147"/>
      <c r="K527" s="154"/>
    </row>
    <row r="528" ht="22.5" customHeight="1">
      <c r="A528" s="147"/>
      <c r="B528" s="148"/>
      <c r="C528" s="149"/>
      <c r="D528" s="150"/>
      <c r="E528" s="151"/>
      <c r="F528" s="152"/>
      <c r="G528" s="152">
        <f t="shared" si="1"/>
        <v>0</v>
      </c>
      <c r="H528" s="153"/>
      <c r="I528" s="154"/>
      <c r="J528" s="147"/>
      <c r="K528" s="154"/>
    </row>
    <row r="529" ht="22.5" customHeight="1">
      <c r="A529" s="147"/>
      <c r="B529" s="148"/>
      <c r="C529" s="149"/>
      <c r="D529" s="150"/>
      <c r="E529" s="151"/>
      <c r="F529" s="152"/>
      <c r="G529" s="152">
        <f t="shared" si="1"/>
        <v>0</v>
      </c>
      <c r="H529" s="153"/>
      <c r="I529" s="154"/>
      <c r="J529" s="147"/>
      <c r="K529" s="154"/>
    </row>
    <row r="530" ht="22.5" customHeight="1">
      <c r="A530" s="147"/>
      <c r="B530" s="148"/>
      <c r="C530" s="149"/>
      <c r="D530" s="150"/>
      <c r="E530" s="151"/>
      <c r="F530" s="152"/>
      <c r="G530" s="152">
        <f t="shared" si="1"/>
        <v>0</v>
      </c>
      <c r="H530" s="153"/>
      <c r="I530" s="154"/>
      <c r="J530" s="147"/>
      <c r="K530" s="154"/>
    </row>
    <row r="531" ht="22.5" customHeight="1">
      <c r="A531" s="147"/>
      <c r="B531" s="148"/>
      <c r="C531" s="149"/>
      <c r="D531" s="150"/>
      <c r="E531" s="151"/>
      <c r="F531" s="152"/>
      <c r="G531" s="152">
        <f t="shared" si="1"/>
        <v>0</v>
      </c>
      <c r="H531" s="153"/>
      <c r="I531" s="154"/>
      <c r="J531" s="147"/>
      <c r="K531" s="154"/>
    </row>
    <row r="532" ht="22.5" customHeight="1">
      <c r="A532" s="147"/>
      <c r="B532" s="148"/>
      <c r="C532" s="149"/>
      <c r="D532" s="150"/>
      <c r="E532" s="151"/>
      <c r="F532" s="152"/>
      <c r="G532" s="152">
        <f t="shared" si="1"/>
        <v>0</v>
      </c>
      <c r="H532" s="153"/>
      <c r="I532" s="154"/>
      <c r="J532" s="147"/>
      <c r="K532" s="154"/>
    </row>
    <row r="533" ht="22.5" customHeight="1">
      <c r="A533" s="147"/>
      <c r="B533" s="148"/>
      <c r="C533" s="149"/>
      <c r="D533" s="150"/>
      <c r="E533" s="151"/>
      <c r="F533" s="152"/>
      <c r="G533" s="152">
        <f t="shared" si="1"/>
        <v>0</v>
      </c>
      <c r="H533" s="153"/>
      <c r="I533" s="154"/>
      <c r="J533" s="147"/>
      <c r="K533" s="154"/>
    </row>
    <row r="534" ht="22.5" customHeight="1">
      <c r="A534" s="147"/>
      <c r="B534" s="148"/>
      <c r="C534" s="149"/>
      <c r="D534" s="150"/>
      <c r="E534" s="151"/>
      <c r="F534" s="152"/>
      <c r="G534" s="152">
        <f t="shared" si="1"/>
        <v>0</v>
      </c>
      <c r="H534" s="153"/>
      <c r="I534" s="154"/>
      <c r="J534" s="147"/>
      <c r="K534" s="154"/>
    </row>
    <row r="535" ht="22.5" customHeight="1">
      <c r="A535" s="147"/>
      <c r="B535" s="148"/>
      <c r="C535" s="149"/>
      <c r="D535" s="150"/>
      <c r="E535" s="151"/>
      <c r="F535" s="152"/>
      <c r="G535" s="152">
        <f t="shared" si="1"/>
        <v>0</v>
      </c>
      <c r="H535" s="153"/>
      <c r="I535" s="154"/>
      <c r="J535" s="147"/>
      <c r="K535" s="154"/>
    </row>
    <row r="536" ht="22.5" customHeight="1">
      <c r="A536" s="147"/>
      <c r="B536" s="148"/>
      <c r="C536" s="149"/>
      <c r="D536" s="150"/>
      <c r="E536" s="151"/>
      <c r="F536" s="152"/>
      <c r="G536" s="152">
        <f t="shared" si="1"/>
        <v>0</v>
      </c>
      <c r="H536" s="153"/>
      <c r="I536" s="154"/>
      <c r="J536" s="147"/>
      <c r="K536" s="154"/>
    </row>
    <row r="537" ht="22.5" customHeight="1">
      <c r="A537" s="147"/>
      <c r="B537" s="148"/>
      <c r="C537" s="149"/>
      <c r="D537" s="150"/>
      <c r="E537" s="151"/>
      <c r="F537" s="152"/>
      <c r="G537" s="152">
        <f t="shared" si="1"/>
        <v>0</v>
      </c>
      <c r="H537" s="153"/>
      <c r="I537" s="154"/>
      <c r="J537" s="147"/>
      <c r="K537" s="154"/>
    </row>
    <row r="538" ht="22.5" customHeight="1">
      <c r="A538" s="147"/>
      <c r="B538" s="148"/>
      <c r="C538" s="149"/>
      <c r="D538" s="150"/>
      <c r="E538" s="151"/>
      <c r="F538" s="152"/>
      <c r="G538" s="152">
        <f t="shared" si="1"/>
        <v>0</v>
      </c>
      <c r="H538" s="153"/>
      <c r="I538" s="154"/>
      <c r="J538" s="147"/>
      <c r="K538" s="154"/>
    </row>
    <row r="539" ht="22.5" customHeight="1">
      <c r="A539" s="147"/>
      <c r="B539" s="148"/>
      <c r="C539" s="149"/>
      <c r="D539" s="150"/>
      <c r="E539" s="151"/>
      <c r="F539" s="152"/>
      <c r="G539" s="152">
        <f t="shared" si="1"/>
        <v>0</v>
      </c>
      <c r="H539" s="153"/>
      <c r="I539" s="154"/>
      <c r="J539" s="147"/>
      <c r="K539" s="154"/>
    </row>
    <row r="540" ht="22.5" customHeight="1">
      <c r="A540" s="147"/>
      <c r="B540" s="148"/>
      <c r="C540" s="149"/>
      <c r="D540" s="150"/>
      <c r="E540" s="151"/>
      <c r="F540" s="152"/>
      <c r="G540" s="152">
        <f t="shared" si="1"/>
        <v>0</v>
      </c>
      <c r="H540" s="153"/>
      <c r="I540" s="154"/>
      <c r="J540" s="147"/>
      <c r="K540" s="154"/>
    </row>
    <row r="541" ht="22.5" customHeight="1">
      <c r="A541" s="147"/>
      <c r="B541" s="148"/>
      <c r="C541" s="149"/>
      <c r="D541" s="150"/>
      <c r="E541" s="151"/>
      <c r="F541" s="152"/>
      <c r="G541" s="152">
        <f t="shared" si="1"/>
        <v>0</v>
      </c>
      <c r="H541" s="153"/>
      <c r="I541" s="154"/>
      <c r="J541" s="147"/>
      <c r="K541" s="154"/>
    </row>
    <row r="542" ht="22.5" customHeight="1">
      <c r="A542" s="147"/>
      <c r="B542" s="148"/>
      <c r="C542" s="149"/>
      <c r="D542" s="150"/>
      <c r="E542" s="151"/>
      <c r="F542" s="152"/>
      <c r="G542" s="152">
        <f t="shared" si="1"/>
        <v>0</v>
      </c>
      <c r="H542" s="153"/>
      <c r="I542" s="154"/>
      <c r="J542" s="147"/>
      <c r="K542" s="154"/>
    </row>
    <row r="543" ht="22.5" customHeight="1">
      <c r="A543" s="147"/>
      <c r="B543" s="148"/>
      <c r="C543" s="149"/>
      <c r="D543" s="150"/>
      <c r="E543" s="151"/>
      <c r="F543" s="152"/>
      <c r="G543" s="152">
        <f t="shared" si="1"/>
        <v>0</v>
      </c>
      <c r="H543" s="153"/>
      <c r="I543" s="154"/>
      <c r="J543" s="147"/>
      <c r="K543" s="154"/>
    </row>
    <row r="544" ht="22.5" customHeight="1">
      <c r="A544" s="147"/>
      <c r="B544" s="148"/>
      <c r="C544" s="149"/>
      <c r="D544" s="150"/>
      <c r="E544" s="151"/>
      <c r="F544" s="152"/>
      <c r="G544" s="152">
        <f t="shared" si="1"/>
        <v>0</v>
      </c>
      <c r="H544" s="153"/>
      <c r="I544" s="154"/>
      <c r="J544" s="147"/>
      <c r="K544" s="154"/>
    </row>
    <row r="545" ht="22.5" customHeight="1">
      <c r="A545" s="147"/>
      <c r="B545" s="148"/>
      <c r="C545" s="149"/>
      <c r="D545" s="150"/>
      <c r="E545" s="151"/>
      <c r="F545" s="152"/>
      <c r="G545" s="152">
        <f t="shared" si="1"/>
        <v>0</v>
      </c>
      <c r="H545" s="153"/>
      <c r="I545" s="154"/>
      <c r="J545" s="147"/>
      <c r="K545" s="154"/>
    </row>
    <row r="546" ht="22.5" customHeight="1">
      <c r="A546" s="147"/>
      <c r="B546" s="148"/>
      <c r="C546" s="149"/>
      <c r="D546" s="150"/>
      <c r="E546" s="151"/>
      <c r="F546" s="152"/>
      <c r="G546" s="152">
        <f t="shared" si="1"/>
        <v>0</v>
      </c>
      <c r="H546" s="153"/>
      <c r="I546" s="154"/>
      <c r="J546" s="147"/>
      <c r="K546" s="154"/>
    </row>
    <row r="547" ht="22.5" customHeight="1">
      <c r="A547" s="147"/>
      <c r="B547" s="148"/>
      <c r="C547" s="149"/>
      <c r="D547" s="150"/>
      <c r="E547" s="151"/>
      <c r="F547" s="152"/>
      <c r="G547" s="152">
        <f t="shared" si="1"/>
        <v>0</v>
      </c>
      <c r="H547" s="153"/>
      <c r="I547" s="154"/>
      <c r="J547" s="147"/>
      <c r="K547" s="154"/>
    </row>
    <row r="548" ht="22.5" customHeight="1">
      <c r="A548" s="147"/>
      <c r="B548" s="148"/>
      <c r="C548" s="149"/>
      <c r="D548" s="150"/>
      <c r="E548" s="151"/>
      <c r="F548" s="152"/>
      <c r="G548" s="152">
        <f t="shared" si="1"/>
        <v>0</v>
      </c>
      <c r="H548" s="153"/>
      <c r="I548" s="154"/>
      <c r="J548" s="147"/>
      <c r="K548" s="154"/>
    </row>
    <row r="549" ht="22.5" customHeight="1">
      <c r="A549" s="147"/>
      <c r="B549" s="148"/>
      <c r="C549" s="149"/>
      <c r="D549" s="150"/>
      <c r="E549" s="151"/>
      <c r="F549" s="152"/>
      <c r="G549" s="152">
        <f t="shared" si="1"/>
        <v>0</v>
      </c>
      <c r="H549" s="153"/>
      <c r="I549" s="154"/>
      <c r="J549" s="147"/>
      <c r="K549" s="154"/>
    </row>
    <row r="550" ht="22.5" customHeight="1">
      <c r="A550" s="147"/>
      <c r="B550" s="148"/>
      <c r="C550" s="149"/>
      <c r="D550" s="150"/>
      <c r="E550" s="151"/>
      <c r="F550" s="152"/>
      <c r="G550" s="152">
        <f t="shared" si="1"/>
        <v>0</v>
      </c>
      <c r="H550" s="153"/>
      <c r="I550" s="154"/>
      <c r="J550" s="147"/>
      <c r="K550" s="154"/>
    </row>
    <row r="551" ht="22.5" customHeight="1">
      <c r="A551" s="147"/>
      <c r="B551" s="148"/>
      <c r="C551" s="149"/>
      <c r="D551" s="150"/>
      <c r="E551" s="151"/>
      <c r="F551" s="152"/>
      <c r="G551" s="152">
        <f t="shared" si="1"/>
        <v>0</v>
      </c>
      <c r="H551" s="153"/>
      <c r="I551" s="154"/>
      <c r="J551" s="147"/>
      <c r="K551" s="154"/>
    </row>
    <row r="552" ht="22.5" customHeight="1">
      <c r="A552" s="147"/>
      <c r="B552" s="148"/>
      <c r="C552" s="149"/>
      <c r="D552" s="150"/>
      <c r="E552" s="151"/>
      <c r="F552" s="152"/>
      <c r="G552" s="152">
        <f t="shared" si="1"/>
        <v>0</v>
      </c>
      <c r="H552" s="153"/>
      <c r="I552" s="154"/>
      <c r="J552" s="147"/>
      <c r="K552" s="154"/>
    </row>
    <row r="553" ht="22.5" customHeight="1">
      <c r="A553" s="147"/>
      <c r="B553" s="148"/>
      <c r="C553" s="149"/>
      <c r="D553" s="150"/>
      <c r="E553" s="151"/>
      <c r="F553" s="152"/>
      <c r="G553" s="152">
        <f t="shared" si="1"/>
        <v>0</v>
      </c>
      <c r="H553" s="153"/>
      <c r="I553" s="154"/>
      <c r="J553" s="147"/>
      <c r="K553" s="154"/>
    </row>
    <row r="554" ht="22.5" customHeight="1">
      <c r="A554" s="147"/>
      <c r="B554" s="148"/>
      <c r="C554" s="149"/>
      <c r="D554" s="150"/>
      <c r="E554" s="151"/>
      <c r="F554" s="152"/>
      <c r="G554" s="152">
        <f t="shared" si="1"/>
        <v>0</v>
      </c>
      <c r="H554" s="153"/>
      <c r="I554" s="154"/>
      <c r="J554" s="147"/>
      <c r="K554" s="154"/>
    </row>
    <row r="555" ht="22.5" customHeight="1">
      <c r="A555" s="147"/>
      <c r="B555" s="148"/>
      <c r="C555" s="149"/>
      <c r="D555" s="150"/>
      <c r="E555" s="151"/>
      <c r="F555" s="152"/>
      <c r="G555" s="152">
        <f t="shared" si="1"/>
        <v>0</v>
      </c>
      <c r="H555" s="153"/>
      <c r="I555" s="154"/>
      <c r="J555" s="147"/>
      <c r="K555" s="154"/>
    </row>
    <row r="556" ht="22.5" customHeight="1">
      <c r="A556" s="147"/>
      <c r="B556" s="148"/>
      <c r="C556" s="149"/>
      <c r="D556" s="150"/>
      <c r="E556" s="151"/>
      <c r="F556" s="152"/>
      <c r="G556" s="152">
        <f t="shared" si="1"/>
        <v>0</v>
      </c>
      <c r="H556" s="153"/>
      <c r="I556" s="154"/>
      <c r="J556" s="147"/>
      <c r="K556" s="154"/>
    </row>
    <row r="557" ht="22.5" customHeight="1">
      <c r="A557" s="147"/>
      <c r="B557" s="148"/>
      <c r="C557" s="149"/>
      <c r="D557" s="150"/>
      <c r="E557" s="151"/>
      <c r="F557" s="152"/>
      <c r="G557" s="152">
        <f t="shared" si="1"/>
        <v>0</v>
      </c>
      <c r="H557" s="153"/>
      <c r="I557" s="154"/>
      <c r="J557" s="147"/>
      <c r="K557" s="154"/>
    </row>
    <row r="558" ht="22.5" customHeight="1">
      <c r="A558" s="147"/>
      <c r="B558" s="148"/>
      <c r="C558" s="149"/>
      <c r="D558" s="150"/>
      <c r="E558" s="151"/>
      <c r="F558" s="152"/>
      <c r="G558" s="152">
        <f t="shared" si="1"/>
        <v>0</v>
      </c>
      <c r="H558" s="153"/>
      <c r="I558" s="154"/>
      <c r="J558" s="147"/>
      <c r="K558" s="154"/>
    </row>
    <row r="559" ht="22.5" customHeight="1">
      <c r="A559" s="147"/>
      <c r="B559" s="148"/>
      <c r="C559" s="149"/>
      <c r="D559" s="150"/>
      <c r="E559" s="151"/>
      <c r="F559" s="152"/>
      <c r="G559" s="152">
        <f t="shared" si="1"/>
        <v>0</v>
      </c>
      <c r="H559" s="153"/>
      <c r="I559" s="154"/>
      <c r="J559" s="147"/>
      <c r="K559" s="154"/>
    </row>
    <row r="560" ht="22.5" customHeight="1">
      <c r="A560" s="147"/>
      <c r="B560" s="148"/>
      <c r="C560" s="149"/>
      <c r="D560" s="150"/>
      <c r="E560" s="151"/>
      <c r="F560" s="152"/>
      <c r="G560" s="152">
        <f t="shared" si="1"/>
        <v>0</v>
      </c>
      <c r="H560" s="153"/>
      <c r="I560" s="154"/>
      <c r="J560" s="147"/>
      <c r="K560" s="154"/>
    </row>
    <row r="561" ht="22.5" customHeight="1">
      <c r="A561" s="147"/>
      <c r="B561" s="148"/>
      <c r="C561" s="149"/>
      <c r="D561" s="150"/>
      <c r="E561" s="151"/>
      <c r="F561" s="152"/>
      <c r="G561" s="152">
        <f t="shared" si="1"/>
        <v>0</v>
      </c>
      <c r="H561" s="153"/>
      <c r="I561" s="154"/>
      <c r="J561" s="147"/>
      <c r="K561" s="154"/>
    </row>
    <row r="562" ht="22.5" customHeight="1">
      <c r="A562" s="147"/>
      <c r="B562" s="148"/>
      <c r="C562" s="149"/>
      <c r="D562" s="150"/>
      <c r="E562" s="151"/>
      <c r="F562" s="152"/>
      <c r="G562" s="152">
        <f t="shared" si="1"/>
        <v>0</v>
      </c>
      <c r="H562" s="153"/>
      <c r="I562" s="154"/>
      <c r="J562" s="147"/>
      <c r="K562" s="154"/>
    </row>
    <row r="563" ht="22.5" customHeight="1">
      <c r="A563" s="147"/>
      <c r="B563" s="148"/>
      <c r="C563" s="149"/>
      <c r="D563" s="150"/>
      <c r="E563" s="151"/>
      <c r="F563" s="152"/>
      <c r="G563" s="152">
        <f t="shared" si="1"/>
        <v>0</v>
      </c>
      <c r="H563" s="153"/>
      <c r="I563" s="154"/>
      <c r="J563" s="147"/>
      <c r="K563" s="154"/>
    </row>
    <row r="564" ht="22.5" customHeight="1">
      <c r="A564" s="147"/>
      <c r="B564" s="148"/>
      <c r="C564" s="149"/>
      <c r="D564" s="150"/>
      <c r="E564" s="151"/>
      <c r="F564" s="152"/>
      <c r="G564" s="152">
        <f t="shared" si="1"/>
        <v>0</v>
      </c>
      <c r="H564" s="153"/>
      <c r="I564" s="154"/>
      <c r="J564" s="147"/>
      <c r="K564" s="154"/>
    </row>
    <row r="565" ht="22.5" customHeight="1">
      <c r="A565" s="147"/>
      <c r="B565" s="148"/>
      <c r="C565" s="149"/>
      <c r="D565" s="150"/>
      <c r="E565" s="151"/>
      <c r="F565" s="152"/>
      <c r="G565" s="152">
        <f t="shared" si="1"/>
        <v>0</v>
      </c>
      <c r="H565" s="153"/>
      <c r="I565" s="154"/>
      <c r="J565" s="147"/>
      <c r="K565" s="154"/>
    </row>
    <row r="566" ht="22.5" customHeight="1">
      <c r="A566" s="147"/>
      <c r="B566" s="148"/>
      <c r="C566" s="149"/>
      <c r="D566" s="150"/>
      <c r="E566" s="151"/>
      <c r="F566" s="152"/>
      <c r="G566" s="152">
        <f t="shared" si="1"/>
        <v>0</v>
      </c>
      <c r="H566" s="153"/>
      <c r="I566" s="154"/>
      <c r="J566" s="147"/>
      <c r="K566" s="154"/>
    </row>
    <row r="567" ht="22.5" customHeight="1">
      <c r="A567" s="147"/>
      <c r="B567" s="148"/>
      <c r="C567" s="149"/>
      <c r="D567" s="150"/>
      <c r="E567" s="151"/>
      <c r="F567" s="152"/>
      <c r="G567" s="152">
        <f t="shared" si="1"/>
        <v>0</v>
      </c>
      <c r="H567" s="153"/>
      <c r="I567" s="154"/>
      <c r="J567" s="147"/>
      <c r="K567" s="154"/>
    </row>
    <row r="568" ht="22.5" customHeight="1">
      <c r="A568" s="147"/>
      <c r="B568" s="148"/>
      <c r="C568" s="149"/>
      <c r="D568" s="150"/>
      <c r="E568" s="151"/>
      <c r="F568" s="152"/>
      <c r="G568" s="152">
        <f t="shared" si="1"/>
        <v>0</v>
      </c>
      <c r="H568" s="153"/>
      <c r="I568" s="154"/>
      <c r="J568" s="147"/>
      <c r="K568" s="154"/>
    </row>
    <row r="569" ht="22.5" customHeight="1">
      <c r="A569" s="147"/>
      <c r="B569" s="148"/>
      <c r="C569" s="149"/>
      <c r="D569" s="150"/>
      <c r="E569" s="151"/>
      <c r="F569" s="152"/>
      <c r="G569" s="152">
        <f t="shared" si="1"/>
        <v>0</v>
      </c>
      <c r="H569" s="153"/>
      <c r="I569" s="154"/>
      <c r="J569" s="147"/>
      <c r="K569" s="154"/>
    </row>
    <row r="570" ht="22.5" customHeight="1">
      <c r="A570" s="147"/>
      <c r="B570" s="148"/>
      <c r="C570" s="149"/>
      <c r="D570" s="150"/>
      <c r="E570" s="151"/>
      <c r="F570" s="152"/>
      <c r="G570" s="152">
        <f t="shared" si="1"/>
        <v>0</v>
      </c>
      <c r="H570" s="153"/>
      <c r="I570" s="154"/>
      <c r="J570" s="147"/>
      <c r="K570" s="154"/>
    </row>
    <row r="571" ht="22.5" customHeight="1">
      <c r="A571" s="147"/>
      <c r="B571" s="148"/>
      <c r="C571" s="149"/>
      <c r="D571" s="150"/>
      <c r="E571" s="151"/>
      <c r="F571" s="152"/>
      <c r="G571" s="152">
        <f t="shared" si="1"/>
        <v>0</v>
      </c>
      <c r="H571" s="153"/>
      <c r="I571" s="154"/>
      <c r="J571" s="147"/>
      <c r="K571" s="154"/>
    </row>
    <row r="572" ht="22.5" customHeight="1">
      <c r="A572" s="147"/>
      <c r="B572" s="148"/>
      <c r="C572" s="149"/>
      <c r="D572" s="150"/>
      <c r="E572" s="151"/>
      <c r="F572" s="152"/>
      <c r="G572" s="152">
        <f t="shared" si="1"/>
        <v>0</v>
      </c>
      <c r="H572" s="153"/>
      <c r="I572" s="154"/>
      <c r="J572" s="147"/>
      <c r="K572" s="154"/>
    </row>
    <row r="573" ht="22.5" customHeight="1">
      <c r="A573" s="147"/>
      <c r="B573" s="148"/>
      <c r="C573" s="149"/>
      <c r="D573" s="150"/>
      <c r="E573" s="151"/>
      <c r="F573" s="152"/>
      <c r="G573" s="152">
        <f t="shared" si="1"/>
        <v>0</v>
      </c>
      <c r="H573" s="153"/>
      <c r="I573" s="154"/>
      <c r="J573" s="147"/>
      <c r="K573" s="154"/>
    </row>
    <row r="574" ht="22.5" customHeight="1">
      <c r="A574" s="147"/>
      <c r="B574" s="148"/>
      <c r="C574" s="149"/>
      <c r="D574" s="150"/>
      <c r="E574" s="151"/>
      <c r="F574" s="152"/>
      <c r="G574" s="152">
        <f t="shared" si="1"/>
        <v>0</v>
      </c>
      <c r="H574" s="153"/>
      <c r="I574" s="154"/>
      <c r="J574" s="147"/>
      <c r="K574" s="154"/>
    </row>
    <row r="575" ht="22.5" customHeight="1">
      <c r="A575" s="147"/>
      <c r="B575" s="148"/>
      <c r="C575" s="149"/>
      <c r="D575" s="150"/>
      <c r="E575" s="151"/>
      <c r="F575" s="152"/>
      <c r="G575" s="152">
        <f t="shared" si="1"/>
        <v>0</v>
      </c>
      <c r="H575" s="153"/>
      <c r="I575" s="154"/>
      <c r="J575" s="147"/>
      <c r="K575" s="154"/>
    </row>
    <row r="576" ht="22.5" customHeight="1">
      <c r="A576" s="147"/>
      <c r="B576" s="148"/>
      <c r="C576" s="149"/>
      <c r="D576" s="150"/>
      <c r="E576" s="151"/>
      <c r="F576" s="152"/>
      <c r="G576" s="152">
        <f t="shared" si="1"/>
        <v>0</v>
      </c>
      <c r="H576" s="153"/>
      <c r="I576" s="154"/>
      <c r="J576" s="147"/>
      <c r="K576" s="154"/>
    </row>
    <row r="577" ht="22.5" customHeight="1">
      <c r="A577" s="147"/>
      <c r="B577" s="148"/>
      <c r="C577" s="149"/>
      <c r="D577" s="150"/>
      <c r="E577" s="151"/>
      <c r="F577" s="152"/>
      <c r="G577" s="152">
        <f t="shared" si="1"/>
        <v>0</v>
      </c>
      <c r="H577" s="153"/>
      <c r="I577" s="154"/>
      <c r="J577" s="147"/>
      <c r="K577" s="154"/>
    </row>
    <row r="578" ht="22.5" customHeight="1">
      <c r="A578" s="147"/>
      <c r="B578" s="148"/>
      <c r="C578" s="149"/>
      <c r="D578" s="150"/>
      <c r="E578" s="151"/>
      <c r="F578" s="152"/>
      <c r="G578" s="152">
        <f t="shared" si="1"/>
        <v>0</v>
      </c>
      <c r="H578" s="153"/>
      <c r="I578" s="154"/>
      <c r="J578" s="147"/>
      <c r="K578" s="154"/>
    </row>
    <row r="579" ht="22.5" customHeight="1">
      <c r="A579" s="147"/>
      <c r="B579" s="148"/>
      <c r="C579" s="149"/>
      <c r="D579" s="150"/>
      <c r="E579" s="151"/>
      <c r="F579" s="152"/>
      <c r="G579" s="152">
        <f t="shared" si="1"/>
        <v>0</v>
      </c>
      <c r="H579" s="153"/>
      <c r="I579" s="154"/>
      <c r="J579" s="147"/>
      <c r="K579" s="154"/>
    </row>
    <row r="580" ht="22.5" customHeight="1">
      <c r="A580" s="147"/>
      <c r="B580" s="148"/>
      <c r="C580" s="149"/>
      <c r="D580" s="150"/>
      <c r="E580" s="151"/>
      <c r="F580" s="152"/>
      <c r="G580" s="152">
        <f t="shared" si="1"/>
        <v>0</v>
      </c>
      <c r="H580" s="153"/>
      <c r="I580" s="154"/>
      <c r="J580" s="147"/>
      <c r="K580" s="154"/>
    </row>
    <row r="581" ht="22.5" customHeight="1">
      <c r="A581" s="147"/>
      <c r="B581" s="148"/>
      <c r="C581" s="149"/>
      <c r="D581" s="150"/>
      <c r="E581" s="151"/>
      <c r="F581" s="152"/>
      <c r="G581" s="152">
        <f t="shared" si="1"/>
        <v>0</v>
      </c>
      <c r="H581" s="153"/>
      <c r="I581" s="154"/>
      <c r="J581" s="147"/>
      <c r="K581" s="154"/>
    </row>
    <row r="582" ht="22.5" customHeight="1">
      <c r="A582" s="147"/>
      <c r="B582" s="148"/>
      <c r="C582" s="149"/>
      <c r="D582" s="150"/>
      <c r="E582" s="151"/>
      <c r="F582" s="152"/>
      <c r="G582" s="152">
        <f t="shared" si="1"/>
        <v>0</v>
      </c>
      <c r="H582" s="153"/>
      <c r="I582" s="154"/>
      <c r="J582" s="147"/>
      <c r="K582" s="154"/>
    </row>
    <row r="583" ht="22.5" customHeight="1">
      <c r="A583" s="147"/>
      <c r="B583" s="148"/>
      <c r="C583" s="149"/>
      <c r="D583" s="150"/>
      <c r="E583" s="151"/>
      <c r="F583" s="152"/>
      <c r="G583" s="152">
        <f t="shared" si="1"/>
        <v>0</v>
      </c>
      <c r="H583" s="153"/>
      <c r="I583" s="154"/>
      <c r="J583" s="147"/>
      <c r="K583" s="154"/>
    </row>
    <row r="584" ht="22.5" customHeight="1">
      <c r="A584" s="147"/>
      <c r="B584" s="148"/>
      <c r="C584" s="149"/>
      <c r="D584" s="150"/>
      <c r="E584" s="151"/>
      <c r="F584" s="152"/>
      <c r="G584" s="152">
        <f t="shared" si="1"/>
        <v>0</v>
      </c>
      <c r="H584" s="153"/>
      <c r="I584" s="154"/>
      <c r="J584" s="147"/>
      <c r="K584" s="154"/>
    </row>
    <row r="585" ht="22.5" customHeight="1">
      <c r="A585" s="147"/>
      <c r="B585" s="148"/>
      <c r="C585" s="149"/>
      <c r="D585" s="150"/>
      <c r="E585" s="151"/>
      <c r="F585" s="152"/>
      <c r="G585" s="152">
        <f t="shared" si="1"/>
        <v>0</v>
      </c>
      <c r="H585" s="153"/>
      <c r="I585" s="154"/>
      <c r="J585" s="147"/>
      <c r="K585" s="154"/>
    </row>
    <row r="586" ht="22.5" customHeight="1">
      <c r="A586" s="147"/>
      <c r="B586" s="148"/>
      <c r="C586" s="149"/>
      <c r="D586" s="150"/>
      <c r="E586" s="151"/>
      <c r="F586" s="152"/>
      <c r="G586" s="152">
        <f t="shared" si="1"/>
        <v>0</v>
      </c>
      <c r="H586" s="153"/>
      <c r="I586" s="154"/>
      <c r="J586" s="147"/>
      <c r="K586" s="154"/>
    </row>
    <row r="587" ht="22.5" customHeight="1">
      <c r="A587" s="147"/>
      <c r="B587" s="148"/>
      <c r="C587" s="149"/>
      <c r="D587" s="150"/>
      <c r="E587" s="151"/>
      <c r="F587" s="152"/>
      <c r="G587" s="152">
        <f t="shared" si="1"/>
        <v>0</v>
      </c>
      <c r="H587" s="153"/>
      <c r="I587" s="154"/>
      <c r="J587" s="147"/>
      <c r="K587" s="154"/>
    </row>
    <row r="588" ht="22.5" customHeight="1">
      <c r="A588" s="147"/>
      <c r="B588" s="148"/>
      <c r="C588" s="149"/>
      <c r="D588" s="150"/>
      <c r="E588" s="151"/>
      <c r="F588" s="152"/>
      <c r="G588" s="152">
        <f t="shared" si="1"/>
        <v>0</v>
      </c>
      <c r="H588" s="153"/>
      <c r="I588" s="154"/>
      <c r="J588" s="147"/>
      <c r="K588" s="154"/>
    </row>
    <row r="589" ht="22.5" customHeight="1">
      <c r="A589" s="147"/>
      <c r="B589" s="148"/>
      <c r="C589" s="149"/>
      <c r="D589" s="150"/>
      <c r="E589" s="151"/>
      <c r="F589" s="152"/>
      <c r="G589" s="152">
        <f t="shared" si="1"/>
        <v>0</v>
      </c>
      <c r="H589" s="153"/>
      <c r="I589" s="154"/>
      <c r="J589" s="147"/>
      <c r="K589" s="154"/>
    </row>
    <row r="590" ht="22.5" customHeight="1">
      <c r="A590" s="147"/>
      <c r="B590" s="148"/>
      <c r="C590" s="149"/>
      <c r="D590" s="150"/>
      <c r="E590" s="151"/>
      <c r="F590" s="152"/>
      <c r="G590" s="152">
        <f t="shared" si="1"/>
        <v>0</v>
      </c>
      <c r="H590" s="153"/>
      <c r="I590" s="154"/>
      <c r="J590" s="147"/>
      <c r="K590" s="154"/>
    </row>
    <row r="591" ht="22.5" customHeight="1">
      <c r="A591" s="147"/>
      <c r="B591" s="148"/>
      <c r="C591" s="149"/>
      <c r="D591" s="150"/>
      <c r="E591" s="151"/>
      <c r="F591" s="152"/>
      <c r="G591" s="152">
        <f t="shared" si="1"/>
        <v>0</v>
      </c>
      <c r="H591" s="153"/>
      <c r="I591" s="154"/>
      <c r="J591" s="147"/>
      <c r="K591" s="154"/>
    </row>
    <row r="592" ht="22.5" customHeight="1">
      <c r="A592" s="147"/>
      <c r="B592" s="148"/>
      <c r="C592" s="149"/>
      <c r="D592" s="150"/>
      <c r="E592" s="151"/>
      <c r="F592" s="152"/>
      <c r="G592" s="152">
        <f t="shared" si="1"/>
        <v>0</v>
      </c>
      <c r="H592" s="153"/>
      <c r="I592" s="154"/>
      <c r="J592" s="147"/>
      <c r="K592" s="154"/>
    </row>
    <row r="593" ht="22.5" customHeight="1">
      <c r="A593" s="147"/>
      <c r="B593" s="148"/>
      <c r="C593" s="149"/>
      <c r="D593" s="150"/>
      <c r="E593" s="151"/>
      <c r="F593" s="152"/>
      <c r="G593" s="152">
        <f t="shared" si="1"/>
        <v>0</v>
      </c>
      <c r="H593" s="153"/>
      <c r="I593" s="154"/>
      <c r="J593" s="147"/>
      <c r="K593" s="154"/>
    </row>
    <row r="594" ht="22.5" customHeight="1">
      <c r="A594" s="147"/>
      <c r="B594" s="148"/>
      <c r="C594" s="149"/>
      <c r="D594" s="150"/>
      <c r="E594" s="151"/>
      <c r="F594" s="152"/>
      <c r="G594" s="152">
        <f t="shared" si="1"/>
        <v>0</v>
      </c>
      <c r="H594" s="153"/>
      <c r="I594" s="154"/>
      <c r="J594" s="147"/>
      <c r="K594" s="154"/>
    </row>
    <row r="595" ht="22.5" customHeight="1">
      <c r="A595" s="147"/>
      <c r="B595" s="148"/>
      <c r="C595" s="149"/>
      <c r="D595" s="150"/>
      <c r="E595" s="151"/>
      <c r="F595" s="152"/>
      <c r="G595" s="152">
        <f t="shared" si="1"/>
        <v>0</v>
      </c>
      <c r="H595" s="153"/>
      <c r="I595" s="154"/>
      <c r="J595" s="147"/>
      <c r="K595" s="154"/>
    </row>
    <row r="596" ht="22.5" customHeight="1">
      <c r="A596" s="147"/>
      <c r="B596" s="148"/>
      <c r="C596" s="149"/>
      <c r="D596" s="150"/>
      <c r="E596" s="151"/>
      <c r="F596" s="152"/>
      <c r="G596" s="152">
        <f t="shared" si="1"/>
        <v>0</v>
      </c>
      <c r="H596" s="153"/>
      <c r="I596" s="154"/>
      <c r="J596" s="147"/>
      <c r="K596" s="154"/>
    </row>
    <row r="597" ht="22.5" customHeight="1">
      <c r="A597" s="147"/>
      <c r="B597" s="148"/>
      <c r="C597" s="149"/>
      <c r="D597" s="150"/>
      <c r="E597" s="151"/>
      <c r="F597" s="152"/>
      <c r="G597" s="152">
        <f t="shared" si="1"/>
        <v>0</v>
      </c>
      <c r="H597" s="153"/>
      <c r="I597" s="154"/>
      <c r="J597" s="147"/>
      <c r="K597" s="154"/>
    </row>
    <row r="598" ht="22.5" customHeight="1">
      <c r="A598" s="147"/>
      <c r="B598" s="148"/>
      <c r="C598" s="149"/>
      <c r="D598" s="150"/>
      <c r="E598" s="151"/>
      <c r="F598" s="152"/>
      <c r="G598" s="152">
        <f t="shared" si="1"/>
        <v>0</v>
      </c>
      <c r="H598" s="153"/>
      <c r="I598" s="154"/>
      <c r="J598" s="147"/>
      <c r="K598" s="154"/>
    </row>
    <row r="599" ht="22.5" customHeight="1">
      <c r="A599" s="147"/>
      <c r="B599" s="148"/>
      <c r="C599" s="149"/>
      <c r="D599" s="150"/>
      <c r="E599" s="151"/>
      <c r="F599" s="152"/>
      <c r="G599" s="152">
        <f t="shared" si="1"/>
        <v>0</v>
      </c>
      <c r="H599" s="153"/>
      <c r="I599" s="154"/>
      <c r="J599" s="147"/>
      <c r="K599" s="154"/>
    </row>
    <row r="600" ht="22.5" customHeight="1">
      <c r="A600" s="147"/>
      <c r="B600" s="148"/>
      <c r="C600" s="149"/>
      <c r="D600" s="150"/>
      <c r="E600" s="151"/>
      <c r="F600" s="152"/>
      <c r="G600" s="152">
        <f t="shared" si="1"/>
        <v>0</v>
      </c>
      <c r="H600" s="153"/>
      <c r="I600" s="154"/>
      <c r="J600" s="147"/>
      <c r="K600" s="154"/>
    </row>
    <row r="601" ht="22.5" customHeight="1">
      <c r="A601" s="147"/>
      <c r="B601" s="148"/>
      <c r="C601" s="149"/>
      <c r="D601" s="150"/>
      <c r="E601" s="151"/>
      <c r="F601" s="152"/>
      <c r="G601" s="152">
        <f t="shared" si="1"/>
        <v>0</v>
      </c>
      <c r="H601" s="153"/>
      <c r="I601" s="154"/>
      <c r="J601" s="147"/>
      <c r="K601" s="154"/>
    </row>
    <row r="602" ht="22.5" customHeight="1">
      <c r="A602" s="147"/>
      <c r="B602" s="148"/>
      <c r="C602" s="149"/>
      <c r="D602" s="150"/>
      <c r="E602" s="151"/>
      <c r="F602" s="152"/>
      <c r="G602" s="152">
        <f t="shared" si="1"/>
        <v>0</v>
      </c>
      <c r="H602" s="153"/>
      <c r="I602" s="154"/>
      <c r="J602" s="147"/>
      <c r="K602" s="154"/>
    </row>
    <row r="603" ht="22.5" customHeight="1">
      <c r="A603" s="147"/>
      <c r="B603" s="148"/>
      <c r="C603" s="149"/>
      <c r="D603" s="150"/>
      <c r="E603" s="151"/>
      <c r="F603" s="152"/>
      <c r="G603" s="152">
        <f t="shared" si="1"/>
        <v>0</v>
      </c>
      <c r="H603" s="153"/>
      <c r="I603" s="154"/>
      <c r="J603" s="147"/>
      <c r="K603" s="154"/>
    </row>
    <row r="604" ht="22.5" customHeight="1">
      <c r="A604" s="147"/>
      <c r="B604" s="148"/>
      <c r="C604" s="149"/>
      <c r="D604" s="150"/>
      <c r="E604" s="151"/>
      <c r="F604" s="152"/>
      <c r="G604" s="152">
        <f t="shared" si="1"/>
        <v>0</v>
      </c>
      <c r="H604" s="153"/>
      <c r="I604" s="154"/>
      <c r="J604" s="147"/>
      <c r="K604" s="154"/>
    </row>
    <row r="605" ht="22.5" customHeight="1">
      <c r="A605" s="147"/>
      <c r="B605" s="148"/>
      <c r="C605" s="149"/>
      <c r="D605" s="150"/>
      <c r="E605" s="151"/>
      <c r="F605" s="152"/>
      <c r="G605" s="152">
        <f t="shared" si="1"/>
        <v>0</v>
      </c>
      <c r="H605" s="153"/>
      <c r="I605" s="154"/>
      <c r="J605" s="147"/>
      <c r="K605" s="154"/>
    </row>
    <row r="606" ht="22.5" customHeight="1">
      <c r="A606" s="147"/>
      <c r="B606" s="148"/>
      <c r="C606" s="149"/>
      <c r="D606" s="150"/>
      <c r="E606" s="151"/>
      <c r="F606" s="152"/>
      <c r="G606" s="152">
        <f t="shared" si="1"/>
        <v>0</v>
      </c>
      <c r="H606" s="153"/>
      <c r="I606" s="154"/>
      <c r="J606" s="147"/>
      <c r="K606" s="154"/>
    </row>
    <row r="607" ht="22.5" customHeight="1">
      <c r="A607" s="147"/>
      <c r="B607" s="148"/>
      <c r="C607" s="149"/>
      <c r="D607" s="150"/>
      <c r="E607" s="151"/>
      <c r="F607" s="152"/>
      <c r="G607" s="152">
        <f t="shared" si="1"/>
        <v>0</v>
      </c>
      <c r="H607" s="153"/>
      <c r="I607" s="154"/>
      <c r="J607" s="147"/>
      <c r="K607" s="154"/>
    </row>
    <row r="608" ht="22.5" customHeight="1">
      <c r="A608" s="147"/>
      <c r="B608" s="148"/>
      <c r="C608" s="149"/>
      <c r="D608" s="150"/>
      <c r="E608" s="151"/>
      <c r="F608" s="152"/>
      <c r="G608" s="152">
        <f t="shared" si="1"/>
        <v>0</v>
      </c>
      <c r="H608" s="153"/>
      <c r="I608" s="154"/>
      <c r="J608" s="147"/>
      <c r="K608" s="154"/>
    </row>
    <row r="609" ht="22.5" customHeight="1">
      <c r="A609" s="147"/>
      <c r="B609" s="148"/>
      <c r="C609" s="149"/>
      <c r="D609" s="150"/>
      <c r="E609" s="151"/>
      <c r="F609" s="152"/>
      <c r="G609" s="152">
        <f t="shared" si="1"/>
        <v>0</v>
      </c>
      <c r="H609" s="153"/>
      <c r="I609" s="154"/>
      <c r="J609" s="147"/>
      <c r="K609" s="154"/>
    </row>
    <row r="610" ht="22.5" customHeight="1">
      <c r="A610" s="147"/>
      <c r="B610" s="148"/>
      <c r="C610" s="149"/>
      <c r="D610" s="150"/>
      <c r="E610" s="151"/>
      <c r="F610" s="152"/>
      <c r="G610" s="152">
        <f t="shared" si="1"/>
        <v>0</v>
      </c>
      <c r="H610" s="153"/>
      <c r="I610" s="154"/>
      <c r="J610" s="147"/>
      <c r="K610" s="154"/>
    </row>
    <row r="611" ht="22.5" customHeight="1">
      <c r="A611" s="147"/>
      <c r="B611" s="148"/>
      <c r="C611" s="149"/>
      <c r="D611" s="150"/>
      <c r="E611" s="151"/>
      <c r="F611" s="152"/>
      <c r="G611" s="152">
        <f t="shared" si="1"/>
        <v>0</v>
      </c>
      <c r="H611" s="153"/>
      <c r="I611" s="154"/>
      <c r="J611" s="147"/>
      <c r="K611" s="154"/>
    </row>
    <row r="612" ht="22.5" customHeight="1">
      <c r="A612" s="147"/>
      <c r="B612" s="148"/>
      <c r="C612" s="149"/>
      <c r="D612" s="150"/>
      <c r="E612" s="151"/>
      <c r="F612" s="152"/>
      <c r="G612" s="152">
        <f t="shared" si="1"/>
        <v>0</v>
      </c>
      <c r="H612" s="153"/>
      <c r="I612" s="154"/>
      <c r="J612" s="147"/>
      <c r="K612" s="154"/>
    </row>
    <row r="613" ht="22.5" customHeight="1">
      <c r="A613" s="147"/>
      <c r="B613" s="148"/>
      <c r="C613" s="149"/>
      <c r="D613" s="150"/>
      <c r="E613" s="151"/>
      <c r="F613" s="152"/>
      <c r="G613" s="152">
        <f t="shared" si="1"/>
        <v>0</v>
      </c>
      <c r="H613" s="153"/>
      <c r="I613" s="154"/>
      <c r="J613" s="147"/>
      <c r="K613" s="154"/>
    </row>
    <row r="614" ht="22.5" customHeight="1">
      <c r="A614" s="147"/>
      <c r="B614" s="148"/>
      <c r="C614" s="149"/>
      <c r="D614" s="150"/>
      <c r="E614" s="151"/>
      <c r="F614" s="152"/>
      <c r="G614" s="152">
        <f t="shared" si="1"/>
        <v>0</v>
      </c>
      <c r="H614" s="153"/>
      <c r="I614" s="154"/>
      <c r="J614" s="147"/>
      <c r="K614" s="154"/>
    </row>
    <row r="615" ht="22.5" customHeight="1">
      <c r="A615" s="147"/>
      <c r="B615" s="148"/>
      <c r="C615" s="149"/>
      <c r="D615" s="150"/>
      <c r="E615" s="151"/>
      <c r="F615" s="152"/>
      <c r="G615" s="152">
        <f t="shared" si="1"/>
        <v>0</v>
      </c>
      <c r="H615" s="153"/>
      <c r="I615" s="154"/>
      <c r="J615" s="147"/>
      <c r="K615" s="154"/>
    </row>
    <row r="616" ht="22.5" customHeight="1">
      <c r="A616" s="147"/>
      <c r="B616" s="148"/>
      <c r="C616" s="149"/>
      <c r="D616" s="150"/>
      <c r="E616" s="151"/>
      <c r="F616" s="152"/>
      <c r="G616" s="152">
        <f t="shared" si="1"/>
        <v>0</v>
      </c>
      <c r="H616" s="153"/>
      <c r="I616" s="154"/>
      <c r="J616" s="147"/>
      <c r="K616" s="154"/>
    </row>
    <row r="617" ht="22.5" customHeight="1">
      <c r="A617" s="147"/>
      <c r="B617" s="148"/>
      <c r="C617" s="149"/>
      <c r="D617" s="150"/>
      <c r="E617" s="151"/>
      <c r="F617" s="152"/>
      <c r="G617" s="152">
        <f t="shared" si="1"/>
        <v>0</v>
      </c>
      <c r="H617" s="153"/>
      <c r="I617" s="154"/>
      <c r="J617" s="147"/>
      <c r="K617" s="154"/>
    </row>
    <row r="618" ht="22.5" customHeight="1">
      <c r="A618" s="147"/>
      <c r="B618" s="148"/>
      <c r="C618" s="149"/>
      <c r="D618" s="150"/>
      <c r="E618" s="151"/>
      <c r="F618" s="152"/>
      <c r="G618" s="152">
        <f t="shared" si="1"/>
        <v>0</v>
      </c>
      <c r="H618" s="153"/>
      <c r="I618" s="154"/>
      <c r="J618" s="147"/>
      <c r="K618" s="154"/>
    </row>
    <row r="619" ht="22.5" customHeight="1">
      <c r="A619" s="147"/>
      <c r="B619" s="148"/>
      <c r="C619" s="149"/>
      <c r="D619" s="150"/>
      <c r="E619" s="151"/>
      <c r="F619" s="152"/>
      <c r="G619" s="152">
        <f t="shared" si="1"/>
        <v>0</v>
      </c>
      <c r="H619" s="153"/>
      <c r="I619" s="154"/>
      <c r="J619" s="147"/>
      <c r="K619" s="154"/>
    </row>
    <row r="620" ht="22.5" customHeight="1">
      <c r="A620" s="147"/>
      <c r="B620" s="148"/>
      <c r="C620" s="149"/>
      <c r="D620" s="150"/>
      <c r="E620" s="151"/>
      <c r="F620" s="152"/>
      <c r="G620" s="152">
        <f t="shared" si="1"/>
        <v>0</v>
      </c>
      <c r="H620" s="153"/>
      <c r="I620" s="154"/>
      <c r="J620" s="147"/>
      <c r="K620" s="154"/>
    </row>
    <row r="621" ht="22.5" customHeight="1">
      <c r="A621" s="147"/>
      <c r="B621" s="148"/>
      <c r="C621" s="149"/>
      <c r="D621" s="150"/>
      <c r="E621" s="151"/>
      <c r="F621" s="152"/>
      <c r="G621" s="152">
        <f t="shared" si="1"/>
        <v>0</v>
      </c>
      <c r="H621" s="153"/>
      <c r="I621" s="154"/>
      <c r="J621" s="147"/>
      <c r="K621" s="154"/>
    </row>
    <row r="622" ht="22.5" customHeight="1">
      <c r="A622" s="147"/>
      <c r="B622" s="148"/>
      <c r="C622" s="149"/>
      <c r="D622" s="150"/>
      <c r="E622" s="151"/>
      <c r="F622" s="152"/>
      <c r="G622" s="152">
        <f t="shared" si="1"/>
        <v>0</v>
      </c>
      <c r="H622" s="153"/>
      <c r="I622" s="154"/>
      <c r="J622" s="147"/>
      <c r="K622" s="154"/>
    </row>
    <row r="623" ht="22.5" customHeight="1">
      <c r="A623" s="147"/>
      <c r="B623" s="148"/>
      <c r="C623" s="149"/>
      <c r="D623" s="150"/>
      <c r="E623" s="151"/>
      <c r="F623" s="152"/>
      <c r="G623" s="152">
        <f t="shared" si="1"/>
        <v>0</v>
      </c>
      <c r="H623" s="153"/>
      <c r="I623" s="154"/>
      <c r="J623" s="147"/>
      <c r="K623" s="154"/>
    </row>
    <row r="624" ht="22.5" customHeight="1">
      <c r="A624" s="147"/>
      <c r="B624" s="148"/>
      <c r="C624" s="149"/>
      <c r="D624" s="150"/>
      <c r="E624" s="151"/>
      <c r="F624" s="152"/>
      <c r="G624" s="152">
        <f t="shared" si="1"/>
        <v>0</v>
      </c>
      <c r="H624" s="153"/>
      <c r="I624" s="154"/>
      <c r="J624" s="147"/>
      <c r="K624" s="154"/>
    </row>
    <row r="625" ht="22.5" customHeight="1">
      <c r="A625" s="147"/>
      <c r="B625" s="148"/>
      <c r="C625" s="149"/>
      <c r="D625" s="150"/>
      <c r="E625" s="151"/>
      <c r="F625" s="152"/>
      <c r="G625" s="152">
        <f t="shared" si="1"/>
        <v>0</v>
      </c>
      <c r="H625" s="153"/>
      <c r="I625" s="154"/>
      <c r="J625" s="147"/>
      <c r="K625" s="154"/>
    </row>
    <row r="626" ht="22.5" customHeight="1">
      <c r="A626" s="147"/>
      <c r="B626" s="148"/>
      <c r="C626" s="149"/>
      <c r="D626" s="150"/>
      <c r="E626" s="151"/>
      <c r="F626" s="152"/>
      <c r="G626" s="152">
        <f t="shared" si="1"/>
        <v>0</v>
      </c>
      <c r="H626" s="153"/>
      <c r="I626" s="154"/>
      <c r="J626" s="147"/>
      <c r="K626" s="154"/>
    </row>
    <row r="627" ht="22.5" customHeight="1">
      <c r="A627" s="147"/>
      <c r="B627" s="148"/>
      <c r="C627" s="149"/>
      <c r="D627" s="150"/>
      <c r="E627" s="151"/>
      <c r="F627" s="152"/>
      <c r="G627" s="152">
        <f t="shared" si="1"/>
        <v>0</v>
      </c>
      <c r="H627" s="153"/>
      <c r="I627" s="154"/>
      <c r="J627" s="147"/>
      <c r="K627" s="154"/>
    </row>
    <row r="628" ht="22.5" customHeight="1">
      <c r="A628" s="147"/>
      <c r="B628" s="148"/>
      <c r="C628" s="149"/>
      <c r="D628" s="150"/>
      <c r="E628" s="151"/>
      <c r="F628" s="152"/>
      <c r="G628" s="152">
        <f t="shared" si="1"/>
        <v>0</v>
      </c>
      <c r="H628" s="153"/>
      <c r="I628" s="154"/>
      <c r="J628" s="147"/>
      <c r="K628" s="154"/>
    </row>
    <row r="629" ht="22.5" customHeight="1">
      <c r="A629" s="147"/>
      <c r="B629" s="148"/>
      <c r="C629" s="149"/>
      <c r="D629" s="150"/>
      <c r="E629" s="151"/>
      <c r="F629" s="152"/>
      <c r="G629" s="152">
        <f t="shared" si="1"/>
        <v>0</v>
      </c>
      <c r="H629" s="153"/>
      <c r="I629" s="154"/>
      <c r="J629" s="147"/>
      <c r="K629" s="154"/>
    </row>
    <row r="630" ht="22.5" customHeight="1">
      <c r="A630" s="147"/>
      <c r="B630" s="148"/>
      <c r="C630" s="149"/>
      <c r="D630" s="150"/>
      <c r="E630" s="151"/>
      <c r="F630" s="152"/>
      <c r="G630" s="152">
        <f t="shared" si="1"/>
        <v>0</v>
      </c>
      <c r="H630" s="153"/>
      <c r="I630" s="154"/>
      <c r="J630" s="147"/>
      <c r="K630" s="154"/>
    </row>
    <row r="631" ht="22.5" customHeight="1">
      <c r="A631" s="147"/>
      <c r="B631" s="148"/>
      <c r="C631" s="149"/>
      <c r="D631" s="150"/>
      <c r="E631" s="151"/>
      <c r="F631" s="152"/>
      <c r="G631" s="152">
        <f t="shared" si="1"/>
        <v>0</v>
      </c>
      <c r="H631" s="153"/>
      <c r="I631" s="154"/>
      <c r="J631" s="147"/>
      <c r="K631" s="154"/>
    </row>
    <row r="632" ht="22.5" customHeight="1">
      <c r="A632" s="147"/>
      <c r="B632" s="148"/>
      <c r="C632" s="149"/>
      <c r="D632" s="150"/>
      <c r="E632" s="151"/>
      <c r="F632" s="152"/>
      <c r="G632" s="152">
        <f t="shared" si="1"/>
        <v>0</v>
      </c>
      <c r="H632" s="153"/>
      <c r="I632" s="154"/>
      <c r="J632" s="147"/>
      <c r="K632" s="154"/>
    </row>
    <row r="633" ht="22.5" customHeight="1">
      <c r="A633" s="147"/>
      <c r="B633" s="148"/>
      <c r="C633" s="149"/>
      <c r="D633" s="150"/>
      <c r="E633" s="151"/>
      <c r="F633" s="152"/>
      <c r="G633" s="152">
        <f t="shared" si="1"/>
        <v>0</v>
      </c>
      <c r="H633" s="153"/>
      <c r="I633" s="154"/>
      <c r="J633" s="147"/>
      <c r="K633" s="154"/>
    </row>
    <row r="634" ht="22.5" customHeight="1">
      <c r="A634" s="147"/>
      <c r="B634" s="148"/>
      <c r="C634" s="149"/>
      <c r="D634" s="150"/>
      <c r="E634" s="151"/>
      <c r="F634" s="152"/>
      <c r="G634" s="152">
        <f t="shared" si="1"/>
        <v>0</v>
      </c>
      <c r="H634" s="153"/>
      <c r="I634" s="154"/>
      <c r="J634" s="147"/>
      <c r="K634" s="154"/>
    </row>
    <row r="635" ht="22.5" customHeight="1">
      <c r="A635" s="147"/>
      <c r="B635" s="148"/>
      <c r="C635" s="149"/>
      <c r="D635" s="150"/>
      <c r="E635" s="151"/>
      <c r="F635" s="152"/>
      <c r="G635" s="152">
        <f t="shared" si="1"/>
        <v>0</v>
      </c>
      <c r="H635" s="153"/>
      <c r="I635" s="154"/>
      <c r="J635" s="147"/>
      <c r="K635" s="154"/>
    </row>
    <row r="636" ht="22.5" customHeight="1">
      <c r="A636" s="147"/>
      <c r="B636" s="148"/>
      <c r="C636" s="149"/>
      <c r="D636" s="150"/>
      <c r="E636" s="151"/>
      <c r="F636" s="152"/>
      <c r="G636" s="152">
        <f t="shared" si="1"/>
        <v>0</v>
      </c>
      <c r="H636" s="153"/>
      <c r="I636" s="154"/>
      <c r="J636" s="147"/>
      <c r="K636" s="154"/>
    </row>
    <row r="637" ht="22.5" customHeight="1">
      <c r="A637" s="147"/>
      <c r="B637" s="148"/>
      <c r="C637" s="149"/>
      <c r="D637" s="150"/>
      <c r="E637" s="151"/>
      <c r="F637" s="152"/>
      <c r="G637" s="152">
        <f t="shared" si="1"/>
        <v>0</v>
      </c>
      <c r="H637" s="153"/>
      <c r="I637" s="154"/>
      <c r="J637" s="147"/>
      <c r="K637" s="154"/>
    </row>
    <row r="638" ht="22.5" customHeight="1">
      <c r="A638" s="147"/>
      <c r="B638" s="148"/>
      <c r="C638" s="149"/>
      <c r="D638" s="150"/>
      <c r="E638" s="151"/>
      <c r="F638" s="152"/>
      <c r="G638" s="152">
        <f t="shared" si="1"/>
        <v>0</v>
      </c>
      <c r="H638" s="153"/>
      <c r="I638" s="154"/>
      <c r="J638" s="147"/>
      <c r="K638" s="154"/>
    </row>
    <row r="639" ht="22.5" customHeight="1">
      <c r="A639" s="147"/>
      <c r="B639" s="148"/>
      <c r="C639" s="149"/>
      <c r="D639" s="150"/>
      <c r="E639" s="151"/>
      <c r="F639" s="152"/>
      <c r="G639" s="152">
        <f t="shared" si="1"/>
        <v>0</v>
      </c>
      <c r="H639" s="153"/>
      <c r="I639" s="154"/>
      <c r="J639" s="147"/>
      <c r="K639" s="154"/>
    </row>
    <row r="640" ht="22.5" customHeight="1">
      <c r="A640" s="147"/>
      <c r="B640" s="148"/>
      <c r="C640" s="149"/>
      <c r="D640" s="150"/>
      <c r="E640" s="151"/>
      <c r="F640" s="152"/>
      <c r="G640" s="152">
        <f t="shared" si="1"/>
        <v>0</v>
      </c>
      <c r="H640" s="153"/>
      <c r="I640" s="154"/>
      <c r="J640" s="147"/>
      <c r="K640" s="154"/>
    </row>
    <row r="641" ht="22.5" customHeight="1">
      <c r="A641" s="147"/>
      <c r="B641" s="148"/>
      <c r="C641" s="149"/>
      <c r="D641" s="150"/>
      <c r="E641" s="151"/>
      <c r="F641" s="152"/>
      <c r="G641" s="152">
        <f t="shared" si="1"/>
        <v>0</v>
      </c>
      <c r="H641" s="153"/>
      <c r="I641" s="154"/>
      <c r="J641" s="147"/>
      <c r="K641" s="154"/>
    </row>
    <row r="642" ht="22.5" customHeight="1">
      <c r="A642" s="147"/>
      <c r="B642" s="148"/>
      <c r="C642" s="149"/>
      <c r="D642" s="150"/>
      <c r="E642" s="151"/>
      <c r="F642" s="152"/>
      <c r="G642" s="152">
        <f t="shared" si="1"/>
        <v>0</v>
      </c>
      <c r="H642" s="153"/>
      <c r="I642" s="154"/>
      <c r="J642" s="147"/>
      <c r="K642" s="154"/>
    </row>
    <row r="643" ht="22.5" customHeight="1">
      <c r="A643" s="147"/>
      <c r="B643" s="148"/>
      <c r="C643" s="149"/>
      <c r="D643" s="150"/>
      <c r="E643" s="151"/>
      <c r="F643" s="152"/>
      <c r="G643" s="152">
        <f t="shared" si="1"/>
        <v>0</v>
      </c>
      <c r="H643" s="153"/>
      <c r="I643" s="154"/>
      <c r="J643" s="147"/>
      <c r="K643" s="154"/>
    </row>
    <row r="644" ht="22.5" customHeight="1">
      <c r="A644" s="147"/>
      <c r="B644" s="148"/>
      <c r="C644" s="149"/>
      <c r="D644" s="150"/>
      <c r="E644" s="151"/>
      <c r="F644" s="152"/>
      <c r="G644" s="152">
        <f t="shared" si="1"/>
        <v>0</v>
      </c>
      <c r="H644" s="153"/>
      <c r="I644" s="154"/>
      <c r="J644" s="147"/>
      <c r="K644" s="154"/>
    </row>
    <row r="645" ht="22.5" customHeight="1">
      <c r="A645" s="147"/>
      <c r="B645" s="148"/>
      <c r="C645" s="149"/>
      <c r="D645" s="150"/>
      <c r="E645" s="151"/>
      <c r="F645" s="152"/>
      <c r="G645" s="152">
        <f t="shared" si="1"/>
        <v>0</v>
      </c>
      <c r="H645" s="153"/>
      <c r="I645" s="154"/>
      <c r="J645" s="147"/>
      <c r="K645" s="154"/>
    </row>
    <row r="646" ht="22.5" customHeight="1">
      <c r="A646" s="147"/>
      <c r="B646" s="148"/>
      <c r="C646" s="149"/>
      <c r="D646" s="150"/>
      <c r="E646" s="151"/>
      <c r="F646" s="152"/>
      <c r="G646" s="152">
        <f t="shared" si="1"/>
        <v>0</v>
      </c>
      <c r="H646" s="153"/>
      <c r="I646" s="154"/>
      <c r="J646" s="147"/>
      <c r="K646" s="154"/>
    </row>
    <row r="647" ht="22.5" customHeight="1">
      <c r="A647" s="147"/>
      <c r="B647" s="148"/>
      <c r="C647" s="149"/>
      <c r="D647" s="150"/>
      <c r="E647" s="151"/>
      <c r="F647" s="152"/>
      <c r="G647" s="152">
        <f t="shared" si="1"/>
        <v>0</v>
      </c>
      <c r="H647" s="153"/>
      <c r="I647" s="154"/>
      <c r="J647" s="147"/>
      <c r="K647" s="154"/>
    </row>
    <row r="648" ht="22.5" customHeight="1">
      <c r="A648" s="147"/>
      <c r="B648" s="148"/>
      <c r="C648" s="149"/>
      <c r="D648" s="150"/>
      <c r="E648" s="151"/>
      <c r="F648" s="152"/>
      <c r="G648" s="152">
        <f t="shared" si="1"/>
        <v>0</v>
      </c>
      <c r="H648" s="153"/>
      <c r="I648" s="154"/>
      <c r="J648" s="147"/>
      <c r="K648" s="154"/>
    </row>
    <row r="649" ht="22.5" customHeight="1">
      <c r="A649" s="147"/>
      <c r="B649" s="148"/>
      <c r="C649" s="149"/>
      <c r="D649" s="150"/>
      <c r="E649" s="151"/>
      <c r="F649" s="152"/>
      <c r="G649" s="152">
        <f t="shared" si="1"/>
        <v>0</v>
      </c>
      <c r="H649" s="153"/>
      <c r="I649" s="154"/>
      <c r="J649" s="147"/>
      <c r="K649" s="154"/>
    </row>
    <row r="650" ht="22.5" customHeight="1">
      <c r="A650" s="147"/>
      <c r="B650" s="148"/>
      <c r="C650" s="149"/>
      <c r="D650" s="150"/>
      <c r="E650" s="151"/>
      <c r="F650" s="152"/>
      <c r="G650" s="152">
        <f t="shared" si="1"/>
        <v>0</v>
      </c>
      <c r="H650" s="153"/>
      <c r="I650" s="154"/>
      <c r="J650" s="147"/>
      <c r="K650" s="154"/>
    </row>
    <row r="651" ht="22.5" customHeight="1">
      <c r="A651" s="147"/>
      <c r="B651" s="148"/>
      <c r="C651" s="149"/>
      <c r="D651" s="150"/>
      <c r="E651" s="151"/>
      <c r="F651" s="152"/>
      <c r="G651" s="152">
        <f t="shared" si="1"/>
        <v>0</v>
      </c>
      <c r="H651" s="153"/>
      <c r="I651" s="154"/>
      <c r="J651" s="147"/>
      <c r="K651" s="154"/>
    </row>
    <row r="652" ht="22.5" customHeight="1">
      <c r="A652" s="147"/>
      <c r="B652" s="148"/>
      <c r="C652" s="149"/>
      <c r="D652" s="150"/>
      <c r="E652" s="151"/>
      <c r="F652" s="152"/>
      <c r="G652" s="152">
        <f t="shared" si="1"/>
        <v>0</v>
      </c>
      <c r="H652" s="153"/>
      <c r="I652" s="154"/>
      <c r="J652" s="147"/>
      <c r="K652" s="154"/>
    </row>
    <row r="653" ht="22.5" customHeight="1">
      <c r="A653" s="147"/>
      <c r="B653" s="148"/>
      <c r="C653" s="149"/>
      <c r="D653" s="150"/>
      <c r="E653" s="151"/>
      <c r="F653" s="152"/>
      <c r="G653" s="152">
        <f t="shared" si="1"/>
        <v>0</v>
      </c>
      <c r="H653" s="153"/>
      <c r="I653" s="154"/>
      <c r="J653" s="147"/>
      <c r="K653" s="154"/>
    </row>
    <row r="654" ht="22.5" customHeight="1">
      <c r="A654" s="147"/>
      <c r="B654" s="148"/>
      <c r="C654" s="149"/>
      <c r="D654" s="150"/>
      <c r="E654" s="151"/>
      <c r="F654" s="152"/>
      <c r="G654" s="152">
        <f t="shared" si="1"/>
        <v>0</v>
      </c>
      <c r="H654" s="153"/>
      <c r="I654" s="154"/>
      <c r="J654" s="147"/>
      <c r="K654" s="154"/>
    </row>
    <row r="655" ht="22.5" customHeight="1">
      <c r="A655" s="147"/>
      <c r="B655" s="148"/>
      <c r="C655" s="149"/>
      <c r="D655" s="150"/>
      <c r="E655" s="151"/>
      <c r="F655" s="152"/>
      <c r="G655" s="152">
        <f t="shared" si="1"/>
        <v>0</v>
      </c>
      <c r="H655" s="153"/>
      <c r="I655" s="154"/>
      <c r="J655" s="147"/>
      <c r="K655" s="154"/>
    </row>
    <row r="656" ht="22.5" customHeight="1">
      <c r="A656" s="147"/>
      <c r="B656" s="148"/>
      <c r="C656" s="149"/>
      <c r="D656" s="150"/>
      <c r="E656" s="151"/>
      <c r="F656" s="152"/>
      <c r="G656" s="152">
        <f t="shared" si="1"/>
        <v>0</v>
      </c>
      <c r="H656" s="153"/>
      <c r="I656" s="154"/>
      <c r="J656" s="147"/>
      <c r="K656" s="154"/>
    </row>
    <row r="657" ht="22.5" customHeight="1">
      <c r="A657" s="147"/>
      <c r="B657" s="148"/>
      <c r="C657" s="149"/>
      <c r="D657" s="150"/>
      <c r="E657" s="151"/>
      <c r="F657" s="152"/>
      <c r="G657" s="152">
        <f t="shared" si="1"/>
        <v>0</v>
      </c>
      <c r="H657" s="153"/>
      <c r="I657" s="154"/>
      <c r="J657" s="147"/>
      <c r="K657" s="154"/>
    </row>
    <row r="658" ht="22.5" customHeight="1">
      <c r="A658" s="147"/>
      <c r="B658" s="148"/>
      <c r="C658" s="149"/>
      <c r="D658" s="150"/>
      <c r="E658" s="151"/>
      <c r="F658" s="152"/>
      <c r="G658" s="152">
        <f t="shared" si="1"/>
        <v>0</v>
      </c>
      <c r="H658" s="153"/>
      <c r="I658" s="154"/>
      <c r="J658" s="147"/>
      <c r="K658" s="154"/>
    </row>
    <row r="659" ht="22.5" customHeight="1">
      <c r="A659" s="147"/>
      <c r="B659" s="148"/>
      <c r="C659" s="149"/>
      <c r="D659" s="150"/>
      <c r="E659" s="151"/>
      <c r="F659" s="152"/>
      <c r="G659" s="152">
        <f t="shared" si="1"/>
        <v>0</v>
      </c>
      <c r="H659" s="153"/>
      <c r="I659" s="154"/>
      <c r="J659" s="147"/>
      <c r="K659" s="154"/>
    </row>
    <row r="660" ht="22.5" customHeight="1">
      <c r="A660" s="147"/>
      <c r="B660" s="148"/>
      <c r="C660" s="149"/>
      <c r="D660" s="150"/>
      <c r="E660" s="151"/>
      <c r="F660" s="152"/>
      <c r="G660" s="152">
        <f t="shared" si="1"/>
        <v>0</v>
      </c>
      <c r="H660" s="153"/>
      <c r="I660" s="154"/>
      <c r="J660" s="147"/>
      <c r="K660" s="154"/>
    </row>
    <row r="661" ht="22.5" customHeight="1">
      <c r="A661" s="147"/>
      <c r="B661" s="148"/>
      <c r="C661" s="149"/>
      <c r="D661" s="150"/>
      <c r="E661" s="151"/>
      <c r="F661" s="152"/>
      <c r="G661" s="152">
        <f t="shared" si="1"/>
        <v>0</v>
      </c>
      <c r="H661" s="153"/>
      <c r="I661" s="154"/>
      <c r="J661" s="147"/>
      <c r="K661" s="154"/>
    </row>
    <row r="662" ht="22.5" customHeight="1">
      <c r="A662" s="147"/>
      <c r="B662" s="148"/>
      <c r="C662" s="149"/>
      <c r="D662" s="150"/>
      <c r="E662" s="151"/>
      <c r="F662" s="152"/>
      <c r="G662" s="152">
        <f t="shared" si="1"/>
        <v>0</v>
      </c>
      <c r="H662" s="153"/>
      <c r="I662" s="154"/>
      <c r="J662" s="147"/>
      <c r="K662" s="154"/>
    </row>
    <row r="663" ht="22.5" customHeight="1">
      <c r="A663" s="147"/>
      <c r="B663" s="148"/>
      <c r="C663" s="149"/>
      <c r="D663" s="150"/>
      <c r="E663" s="151"/>
      <c r="F663" s="152"/>
      <c r="G663" s="152">
        <f t="shared" si="1"/>
        <v>0</v>
      </c>
      <c r="H663" s="153"/>
      <c r="I663" s="154"/>
      <c r="J663" s="147"/>
      <c r="K663" s="154"/>
    </row>
    <row r="664" ht="22.5" customHeight="1">
      <c r="A664" s="147"/>
      <c r="B664" s="148"/>
      <c r="C664" s="149"/>
      <c r="D664" s="150"/>
      <c r="E664" s="151"/>
      <c r="F664" s="152"/>
      <c r="G664" s="152">
        <f t="shared" si="1"/>
        <v>0</v>
      </c>
      <c r="H664" s="153"/>
      <c r="I664" s="154"/>
      <c r="J664" s="147"/>
      <c r="K664" s="154"/>
    </row>
    <row r="665" ht="22.5" customHeight="1">
      <c r="A665" s="147"/>
      <c r="B665" s="148"/>
      <c r="C665" s="149"/>
      <c r="D665" s="150"/>
      <c r="E665" s="151"/>
      <c r="F665" s="152"/>
      <c r="G665" s="152">
        <f t="shared" si="1"/>
        <v>0</v>
      </c>
      <c r="H665" s="153"/>
      <c r="I665" s="154"/>
      <c r="J665" s="147"/>
      <c r="K665" s="154"/>
    </row>
    <row r="666" ht="22.5" customHeight="1">
      <c r="A666" s="147"/>
      <c r="B666" s="148"/>
      <c r="C666" s="149"/>
      <c r="D666" s="150"/>
      <c r="E666" s="151"/>
      <c r="F666" s="152"/>
      <c r="G666" s="152">
        <f t="shared" si="1"/>
        <v>0</v>
      </c>
      <c r="H666" s="153"/>
      <c r="I666" s="154"/>
      <c r="J666" s="147"/>
      <c r="K666" s="154"/>
    </row>
    <row r="667" ht="22.5" customHeight="1">
      <c r="A667" s="147"/>
      <c r="B667" s="148"/>
      <c r="C667" s="149"/>
      <c r="D667" s="150"/>
      <c r="E667" s="151"/>
      <c r="F667" s="152"/>
      <c r="G667" s="152">
        <f t="shared" si="1"/>
        <v>0</v>
      </c>
      <c r="H667" s="153"/>
      <c r="I667" s="154"/>
      <c r="J667" s="147"/>
      <c r="K667" s="154"/>
    </row>
    <row r="668" ht="22.5" customHeight="1">
      <c r="A668" s="147"/>
      <c r="B668" s="148"/>
      <c r="C668" s="149"/>
      <c r="D668" s="150"/>
      <c r="E668" s="151"/>
      <c r="F668" s="152"/>
      <c r="G668" s="152">
        <f t="shared" si="1"/>
        <v>0</v>
      </c>
      <c r="H668" s="153"/>
      <c r="I668" s="154"/>
      <c r="J668" s="147"/>
      <c r="K668" s="154"/>
    </row>
    <row r="669" ht="22.5" customHeight="1">
      <c r="A669" s="147"/>
      <c r="B669" s="148"/>
      <c r="C669" s="149"/>
      <c r="D669" s="150"/>
      <c r="E669" s="151"/>
      <c r="F669" s="152"/>
      <c r="G669" s="152">
        <f t="shared" si="1"/>
        <v>0</v>
      </c>
      <c r="H669" s="153"/>
      <c r="I669" s="154"/>
      <c r="J669" s="147"/>
      <c r="K669" s="154"/>
    </row>
    <row r="670" ht="22.5" customHeight="1">
      <c r="A670" s="147"/>
      <c r="B670" s="148"/>
      <c r="C670" s="149"/>
      <c r="D670" s="150"/>
      <c r="E670" s="151"/>
      <c r="F670" s="152"/>
      <c r="G670" s="152">
        <f t="shared" si="1"/>
        <v>0</v>
      </c>
      <c r="H670" s="153"/>
      <c r="I670" s="154"/>
      <c r="J670" s="147"/>
      <c r="K670" s="154"/>
    </row>
    <row r="671" ht="22.5" customHeight="1">
      <c r="A671" s="147"/>
      <c r="B671" s="148"/>
      <c r="C671" s="149"/>
      <c r="D671" s="150"/>
      <c r="E671" s="151"/>
      <c r="F671" s="152"/>
      <c r="G671" s="152">
        <f t="shared" si="1"/>
        <v>0</v>
      </c>
      <c r="H671" s="153"/>
      <c r="I671" s="154"/>
      <c r="J671" s="147"/>
      <c r="K671" s="154"/>
    </row>
    <row r="672" ht="22.5" customHeight="1">
      <c r="A672" s="147"/>
      <c r="B672" s="148"/>
      <c r="C672" s="149"/>
      <c r="D672" s="150"/>
      <c r="E672" s="151"/>
      <c r="F672" s="152"/>
      <c r="G672" s="152">
        <f t="shared" si="1"/>
        <v>0</v>
      </c>
      <c r="H672" s="153"/>
      <c r="I672" s="154"/>
      <c r="J672" s="147"/>
      <c r="K672" s="154"/>
    </row>
    <row r="673" ht="22.5" customHeight="1">
      <c r="A673" s="147"/>
      <c r="B673" s="148"/>
      <c r="C673" s="149"/>
      <c r="D673" s="150"/>
      <c r="E673" s="151"/>
      <c r="F673" s="152"/>
      <c r="G673" s="152">
        <f t="shared" si="1"/>
        <v>0</v>
      </c>
      <c r="H673" s="153"/>
      <c r="I673" s="154"/>
      <c r="J673" s="147"/>
      <c r="K673" s="154"/>
    </row>
    <row r="674" ht="22.5" customHeight="1">
      <c r="A674" s="147"/>
      <c r="B674" s="148"/>
      <c r="C674" s="149"/>
      <c r="D674" s="150"/>
      <c r="E674" s="151"/>
      <c r="F674" s="152"/>
      <c r="G674" s="152">
        <f t="shared" si="1"/>
        <v>0</v>
      </c>
      <c r="H674" s="153"/>
      <c r="I674" s="154"/>
      <c r="J674" s="147"/>
      <c r="K674" s="154"/>
    </row>
    <row r="675" ht="22.5" customHeight="1">
      <c r="A675" s="147"/>
      <c r="B675" s="148"/>
      <c r="C675" s="149"/>
      <c r="D675" s="150"/>
      <c r="E675" s="151"/>
      <c r="F675" s="152"/>
      <c r="G675" s="152">
        <f t="shared" si="1"/>
        <v>0</v>
      </c>
      <c r="H675" s="153"/>
      <c r="I675" s="154"/>
      <c r="J675" s="147"/>
      <c r="K675" s="154"/>
    </row>
    <row r="676" ht="22.5" customHeight="1">
      <c r="A676" s="147"/>
      <c r="B676" s="148"/>
      <c r="C676" s="149"/>
      <c r="D676" s="150"/>
      <c r="E676" s="151"/>
      <c r="F676" s="152"/>
      <c r="G676" s="152">
        <f t="shared" si="1"/>
        <v>0</v>
      </c>
      <c r="H676" s="153"/>
      <c r="I676" s="154"/>
      <c r="J676" s="147"/>
      <c r="K676" s="154"/>
    </row>
    <row r="677" ht="22.5" customHeight="1">
      <c r="A677" s="147"/>
      <c r="B677" s="148"/>
      <c r="C677" s="149"/>
      <c r="D677" s="150"/>
      <c r="E677" s="151"/>
      <c r="F677" s="152"/>
      <c r="G677" s="152">
        <f t="shared" si="1"/>
        <v>0</v>
      </c>
      <c r="H677" s="153"/>
      <c r="I677" s="154"/>
      <c r="J677" s="147"/>
      <c r="K677" s="154"/>
    </row>
    <row r="678" ht="22.5" customHeight="1">
      <c r="A678" s="147"/>
      <c r="B678" s="148"/>
      <c r="C678" s="149"/>
      <c r="D678" s="150"/>
      <c r="E678" s="151"/>
      <c r="F678" s="152"/>
      <c r="G678" s="152">
        <f t="shared" si="1"/>
        <v>0</v>
      </c>
      <c r="H678" s="153"/>
      <c r="I678" s="154"/>
      <c r="J678" s="147"/>
      <c r="K678" s="154"/>
    </row>
    <row r="679" ht="22.5" customHeight="1">
      <c r="A679" s="147"/>
      <c r="B679" s="148"/>
      <c r="C679" s="149"/>
      <c r="D679" s="150"/>
      <c r="E679" s="151"/>
      <c r="F679" s="152"/>
      <c r="G679" s="152">
        <f t="shared" si="1"/>
        <v>0</v>
      </c>
      <c r="H679" s="153"/>
      <c r="I679" s="154"/>
      <c r="J679" s="147"/>
      <c r="K679" s="154"/>
    </row>
    <row r="680" ht="22.5" customHeight="1">
      <c r="A680" s="147"/>
      <c r="B680" s="148"/>
      <c r="C680" s="149"/>
      <c r="D680" s="150"/>
      <c r="E680" s="151"/>
      <c r="F680" s="152"/>
      <c r="G680" s="152">
        <f t="shared" si="1"/>
        <v>0</v>
      </c>
      <c r="H680" s="153"/>
      <c r="I680" s="154"/>
      <c r="J680" s="147"/>
      <c r="K680" s="154"/>
    </row>
    <row r="681" ht="22.5" customHeight="1">
      <c r="A681" s="147"/>
      <c r="B681" s="148"/>
      <c r="C681" s="149"/>
      <c r="D681" s="150"/>
      <c r="E681" s="151"/>
      <c r="F681" s="152"/>
      <c r="G681" s="152">
        <f t="shared" si="1"/>
        <v>0</v>
      </c>
      <c r="H681" s="153"/>
      <c r="I681" s="154"/>
      <c r="J681" s="147"/>
      <c r="K681" s="154"/>
    </row>
    <row r="682" ht="22.5" customHeight="1">
      <c r="A682" s="147"/>
      <c r="B682" s="148"/>
      <c r="C682" s="149"/>
      <c r="D682" s="150"/>
      <c r="E682" s="151"/>
      <c r="F682" s="152"/>
      <c r="G682" s="152">
        <f t="shared" si="1"/>
        <v>0</v>
      </c>
      <c r="H682" s="153"/>
      <c r="I682" s="154"/>
      <c r="J682" s="147"/>
      <c r="K682" s="154"/>
    </row>
    <row r="683" ht="22.5" customHeight="1">
      <c r="A683" s="147"/>
      <c r="B683" s="148"/>
      <c r="C683" s="149"/>
      <c r="D683" s="150"/>
      <c r="E683" s="151"/>
      <c r="F683" s="152"/>
      <c r="G683" s="152">
        <f t="shared" si="1"/>
        <v>0</v>
      </c>
      <c r="H683" s="153"/>
      <c r="I683" s="154"/>
      <c r="J683" s="147"/>
      <c r="K683" s="154"/>
    </row>
    <row r="684" ht="22.5" customHeight="1">
      <c r="A684" s="147"/>
      <c r="B684" s="148"/>
      <c r="C684" s="149"/>
      <c r="D684" s="150"/>
      <c r="E684" s="151"/>
      <c r="F684" s="152"/>
      <c r="G684" s="152">
        <f t="shared" si="1"/>
        <v>0</v>
      </c>
      <c r="H684" s="153"/>
      <c r="I684" s="154"/>
      <c r="J684" s="147"/>
      <c r="K684" s="154"/>
    </row>
    <row r="685" ht="22.5" customHeight="1">
      <c r="A685" s="147"/>
      <c r="B685" s="148"/>
      <c r="C685" s="149"/>
      <c r="D685" s="150"/>
      <c r="E685" s="151"/>
      <c r="F685" s="152"/>
      <c r="G685" s="152">
        <f t="shared" si="1"/>
        <v>0</v>
      </c>
      <c r="H685" s="153"/>
      <c r="I685" s="154"/>
      <c r="J685" s="147"/>
      <c r="K685" s="154"/>
    </row>
    <row r="686" ht="22.5" customHeight="1">
      <c r="A686" s="147"/>
      <c r="B686" s="148"/>
      <c r="C686" s="149"/>
      <c r="D686" s="150"/>
      <c r="E686" s="151"/>
      <c r="F686" s="152"/>
      <c r="G686" s="152">
        <f t="shared" si="1"/>
        <v>0</v>
      </c>
      <c r="H686" s="153"/>
      <c r="I686" s="154"/>
      <c r="J686" s="147"/>
      <c r="K686" s="154"/>
    </row>
    <row r="687" ht="22.5" customHeight="1">
      <c r="A687" s="147"/>
      <c r="B687" s="148"/>
      <c r="C687" s="149"/>
      <c r="D687" s="150"/>
      <c r="E687" s="151"/>
      <c r="F687" s="152"/>
      <c r="G687" s="152">
        <f t="shared" si="1"/>
        <v>0</v>
      </c>
      <c r="H687" s="153"/>
      <c r="I687" s="154"/>
      <c r="J687" s="147"/>
      <c r="K687" s="154"/>
    </row>
    <row r="688" ht="22.5" customHeight="1">
      <c r="A688" s="147"/>
      <c r="B688" s="148"/>
      <c r="C688" s="149"/>
      <c r="D688" s="150"/>
      <c r="E688" s="151"/>
      <c r="F688" s="152"/>
      <c r="G688" s="152">
        <f t="shared" si="1"/>
        <v>0</v>
      </c>
      <c r="H688" s="153"/>
      <c r="I688" s="154"/>
      <c r="J688" s="147"/>
      <c r="K688" s="154"/>
    </row>
    <row r="689" ht="22.5" customHeight="1">
      <c r="A689" s="147"/>
      <c r="B689" s="148"/>
      <c r="C689" s="149"/>
      <c r="D689" s="150"/>
      <c r="E689" s="151"/>
      <c r="F689" s="152"/>
      <c r="G689" s="152">
        <f t="shared" si="1"/>
        <v>0</v>
      </c>
      <c r="H689" s="153"/>
      <c r="I689" s="154"/>
      <c r="J689" s="147"/>
      <c r="K689" s="154"/>
    </row>
    <row r="690" ht="22.5" customHeight="1">
      <c r="A690" s="147"/>
      <c r="B690" s="148"/>
      <c r="C690" s="149"/>
      <c r="D690" s="150"/>
      <c r="E690" s="151"/>
      <c r="F690" s="152"/>
      <c r="G690" s="152">
        <f t="shared" si="1"/>
        <v>0</v>
      </c>
      <c r="H690" s="153"/>
      <c r="I690" s="154"/>
      <c r="J690" s="147"/>
      <c r="K690" s="154"/>
    </row>
    <row r="691" ht="22.5" customHeight="1">
      <c r="A691" s="147"/>
      <c r="B691" s="148"/>
      <c r="C691" s="149"/>
      <c r="D691" s="150"/>
      <c r="E691" s="151"/>
      <c r="F691" s="152"/>
      <c r="G691" s="152">
        <f t="shared" si="1"/>
        <v>0</v>
      </c>
      <c r="H691" s="153"/>
      <c r="I691" s="154"/>
      <c r="J691" s="147"/>
      <c r="K691" s="154"/>
    </row>
    <row r="692" ht="22.5" customHeight="1">
      <c r="A692" s="147"/>
      <c r="B692" s="148"/>
      <c r="C692" s="149"/>
      <c r="D692" s="150"/>
      <c r="E692" s="151"/>
      <c r="F692" s="152"/>
      <c r="G692" s="152">
        <f t="shared" si="1"/>
        <v>0</v>
      </c>
      <c r="H692" s="153"/>
      <c r="I692" s="154"/>
      <c r="J692" s="147"/>
      <c r="K692" s="154"/>
    </row>
    <row r="693" ht="22.5" customHeight="1">
      <c r="A693" s="147"/>
      <c r="B693" s="148"/>
      <c r="C693" s="149"/>
      <c r="D693" s="150"/>
      <c r="E693" s="151"/>
      <c r="F693" s="152"/>
      <c r="G693" s="152">
        <f t="shared" si="1"/>
        <v>0</v>
      </c>
      <c r="H693" s="153"/>
      <c r="I693" s="154"/>
      <c r="J693" s="147"/>
      <c r="K693" s="154"/>
    </row>
    <row r="694" ht="22.5" customHeight="1">
      <c r="A694" s="147"/>
      <c r="B694" s="148"/>
      <c r="C694" s="149"/>
      <c r="D694" s="150"/>
      <c r="E694" s="151"/>
      <c r="F694" s="152"/>
      <c r="G694" s="152">
        <f t="shared" si="1"/>
        <v>0</v>
      </c>
      <c r="H694" s="153"/>
      <c r="I694" s="154"/>
      <c r="J694" s="147"/>
      <c r="K694" s="154"/>
    </row>
    <row r="695" ht="22.5" customHeight="1">
      <c r="A695" s="147"/>
      <c r="B695" s="148"/>
      <c r="C695" s="149"/>
      <c r="D695" s="150"/>
      <c r="E695" s="151"/>
      <c r="F695" s="152"/>
      <c r="G695" s="152">
        <f t="shared" si="1"/>
        <v>0</v>
      </c>
      <c r="H695" s="153"/>
      <c r="I695" s="154"/>
      <c r="J695" s="147"/>
      <c r="K695" s="154"/>
    </row>
    <row r="696" ht="22.5" customHeight="1">
      <c r="A696" s="147"/>
      <c r="B696" s="148"/>
      <c r="C696" s="149"/>
      <c r="D696" s="150"/>
      <c r="E696" s="151"/>
      <c r="F696" s="152"/>
      <c r="G696" s="152">
        <f t="shared" si="1"/>
        <v>0</v>
      </c>
      <c r="H696" s="153"/>
      <c r="I696" s="154"/>
      <c r="J696" s="147"/>
      <c r="K696" s="154"/>
    </row>
    <row r="697" ht="22.5" customHeight="1">
      <c r="A697" s="147"/>
      <c r="B697" s="148"/>
      <c r="C697" s="149"/>
      <c r="D697" s="150"/>
      <c r="E697" s="151"/>
      <c r="F697" s="152"/>
      <c r="G697" s="152">
        <f t="shared" si="1"/>
        <v>0</v>
      </c>
      <c r="H697" s="153"/>
      <c r="I697" s="154"/>
      <c r="J697" s="147"/>
      <c r="K697" s="154"/>
    </row>
    <row r="698" ht="22.5" customHeight="1">
      <c r="A698" s="147"/>
      <c r="B698" s="148"/>
      <c r="C698" s="149"/>
      <c r="D698" s="150"/>
      <c r="E698" s="151"/>
      <c r="F698" s="152"/>
      <c r="G698" s="152">
        <f t="shared" si="1"/>
        <v>0</v>
      </c>
      <c r="H698" s="153"/>
      <c r="I698" s="154"/>
      <c r="J698" s="147"/>
      <c r="K698" s="154"/>
    </row>
    <row r="699" ht="22.5" customHeight="1">
      <c r="A699" s="147"/>
      <c r="B699" s="148"/>
      <c r="C699" s="149"/>
      <c r="D699" s="150"/>
      <c r="E699" s="151"/>
      <c r="F699" s="152"/>
      <c r="G699" s="152">
        <f t="shared" si="1"/>
        <v>0</v>
      </c>
      <c r="H699" s="153"/>
      <c r="I699" s="154"/>
      <c r="J699" s="147"/>
      <c r="K699" s="154"/>
    </row>
    <row r="700" ht="22.5" customHeight="1">
      <c r="A700" s="147"/>
      <c r="B700" s="148"/>
      <c r="C700" s="149"/>
      <c r="D700" s="150"/>
      <c r="E700" s="151"/>
      <c r="F700" s="152"/>
      <c r="G700" s="152">
        <f t="shared" si="1"/>
        <v>0</v>
      </c>
      <c r="H700" s="153"/>
      <c r="I700" s="154"/>
      <c r="J700" s="147"/>
      <c r="K700" s="154"/>
    </row>
    <row r="701" ht="22.5" customHeight="1">
      <c r="A701" s="147"/>
      <c r="B701" s="148"/>
      <c r="C701" s="149"/>
      <c r="D701" s="150"/>
      <c r="E701" s="151"/>
      <c r="F701" s="152"/>
      <c r="G701" s="152">
        <f t="shared" si="1"/>
        <v>0</v>
      </c>
      <c r="H701" s="153"/>
      <c r="I701" s="154"/>
      <c r="J701" s="147"/>
      <c r="K701" s="154"/>
    </row>
    <row r="702" ht="22.5" customHeight="1">
      <c r="A702" s="147"/>
      <c r="B702" s="148"/>
      <c r="C702" s="149"/>
      <c r="D702" s="150"/>
      <c r="E702" s="151"/>
      <c r="F702" s="152"/>
      <c r="G702" s="152">
        <f t="shared" si="1"/>
        <v>0</v>
      </c>
      <c r="H702" s="153"/>
      <c r="I702" s="154"/>
      <c r="J702" s="147"/>
      <c r="K702" s="154"/>
    </row>
    <row r="703" ht="22.5" customHeight="1">
      <c r="A703" s="147"/>
      <c r="B703" s="148"/>
      <c r="C703" s="149"/>
      <c r="D703" s="150"/>
      <c r="E703" s="151"/>
      <c r="F703" s="152"/>
      <c r="G703" s="152">
        <f t="shared" si="1"/>
        <v>0</v>
      </c>
      <c r="H703" s="153"/>
      <c r="I703" s="154"/>
      <c r="J703" s="147"/>
      <c r="K703" s="154"/>
    </row>
    <row r="704" ht="22.5" customHeight="1">
      <c r="A704" s="147"/>
      <c r="B704" s="148"/>
      <c r="C704" s="149"/>
      <c r="D704" s="150"/>
      <c r="E704" s="151"/>
      <c r="F704" s="152"/>
      <c r="G704" s="152">
        <f t="shared" si="1"/>
        <v>0</v>
      </c>
      <c r="H704" s="153"/>
      <c r="I704" s="154"/>
      <c r="J704" s="147"/>
      <c r="K704" s="154"/>
    </row>
    <row r="705" ht="22.5" customHeight="1">
      <c r="A705" s="147"/>
      <c r="B705" s="148"/>
      <c r="C705" s="149"/>
      <c r="D705" s="150"/>
      <c r="E705" s="151"/>
      <c r="F705" s="152"/>
      <c r="G705" s="152">
        <f t="shared" si="1"/>
        <v>0</v>
      </c>
      <c r="H705" s="153"/>
      <c r="I705" s="154"/>
      <c r="J705" s="147"/>
      <c r="K705" s="154"/>
    </row>
    <row r="706" ht="22.5" customHeight="1">
      <c r="A706" s="147"/>
      <c r="B706" s="148"/>
      <c r="C706" s="149"/>
      <c r="D706" s="150"/>
      <c r="E706" s="151"/>
      <c r="F706" s="152"/>
      <c r="G706" s="152">
        <f t="shared" si="1"/>
        <v>0</v>
      </c>
      <c r="H706" s="153"/>
      <c r="I706" s="154"/>
      <c r="J706" s="147"/>
      <c r="K706" s="154"/>
    </row>
    <row r="707" ht="22.5" customHeight="1">
      <c r="A707" s="147"/>
      <c r="B707" s="148"/>
      <c r="C707" s="149"/>
      <c r="D707" s="150"/>
      <c r="E707" s="151"/>
      <c r="F707" s="152"/>
      <c r="G707" s="152">
        <f t="shared" si="1"/>
        <v>0</v>
      </c>
      <c r="H707" s="153"/>
      <c r="I707" s="154"/>
      <c r="J707" s="147"/>
      <c r="K707" s="154"/>
    </row>
    <row r="708" ht="22.5" customHeight="1">
      <c r="A708" s="147"/>
      <c r="B708" s="148"/>
      <c r="C708" s="149"/>
      <c r="D708" s="150"/>
      <c r="E708" s="151"/>
      <c r="F708" s="152"/>
      <c r="G708" s="152">
        <f t="shared" si="1"/>
        <v>0</v>
      </c>
      <c r="H708" s="153"/>
      <c r="I708" s="154"/>
      <c r="J708" s="147"/>
      <c r="K708" s="154"/>
    </row>
    <row r="709" ht="22.5" customHeight="1">
      <c r="A709" s="147"/>
      <c r="B709" s="148"/>
      <c r="C709" s="149"/>
      <c r="D709" s="150"/>
      <c r="E709" s="151"/>
      <c r="F709" s="152"/>
      <c r="G709" s="152">
        <f t="shared" si="1"/>
        <v>0</v>
      </c>
      <c r="H709" s="153"/>
      <c r="I709" s="154"/>
      <c r="J709" s="147"/>
      <c r="K709" s="154"/>
    </row>
    <row r="710" ht="22.5" customHeight="1">
      <c r="A710" s="147"/>
      <c r="B710" s="148"/>
      <c r="C710" s="149"/>
      <c r="D710" s="150"/>
      <c r="E710" s="151"/>
      <c r="F710" s="152"/>
      <c r="G710" s="152">
        <f t="shared" si="1"/>
        <v>0</v>
      </c>
      <c r="H710" s="153"/>
      <c r="I710" s="154"/>
      <c r="J710" s="147"/>
      <c r="K710" s="154"/>
    </row>
    <row r="711" ht="22.5" customHeight="1">
      <c r="A711" s="147"/>
      <c r="B711" s="148"/>
      <c r="C711" s="149"/>
      <c r="D711" s="150"/>
      <c r="E711" s="151"/>
      <c r="F711" s="152"/>
      <c r="G711" s="152">
        <f t="shared" si="1"/>
        <v>0</v>
      </c>
      <c r="H711" s="153"/>
      <c r="I711" s="154"/>
      <c r="J711" s="147"/>
      <c r="K711" s="154"/>
    </row>
    <row r="712" ht="22.5" customHeight="1">
      <c r="A712" s="147"/>
      <c r="B712" s="148"/>
      <c r="C712" s="149"/>
      <c r="D712" s="150"/>
      <c r="E712" s="151"/>
      <c r="F712" s="152"/>
      <c r="G712" s="152">
        <f t="shared" si="1"/>
        <v>0</v>
      </c>
      <c r="H712" s="153"/>
      <c r="I712" s="154"/>
      <c r="J712" s="147"/>
      <c r="K712" s="154"/>
    </row>
    <row r="713" ht="22.5" customHeight="1">
      <c r="A713" s="147"/>
      <c r="B713" s="148"/>
      <c r="C713" s="149"/>
      <c r="D713" s="150"/>
      <c r="E713" s="151"/>
      <c r="F713" s="152"/>
      <c r="G713" s="152">
        <f t="shared" si="1"/>
        <v>0</v>
      </c>
      <c r="H713" s="153"/>
      <c r="I713" s="154"/>
      <c r="J713" s="147"/>
      <c r="K713" s="154"/>
    </row>
    <row r="714" ht="22.5" customHeight="1">
      <c r="A714" s="147"/>
      <c r="B714" s="148"/>
      <c r="C714" s="149"/>
      <c r="D714" s="150"/>
      <c r="E714" s="151"/>
      <c r="F714" s="152"/>
      <c r="G714" s="152">
        <f t="shared" si="1"/>
        <v>0</v>
      </c>
      <c r="H714" s="153"/>
      <c r="I714" s="154"/>
      <c r="J714" s="147"/>
      <c r="K714" s="154"/>
    </row>
    <row r="715" ht="22.5" customHeight="1">
      <c r="A715" s="147"/>
      <c r="B715" s="148"/>
      <c r="C715" s="149"/>
      <c r="D715" s="150"/>
      <c r="E715" s="151"/>
      <c r="F715" s="152"/>
      <c r="G715" s="152">
        <f t="shared" si="1"/>
        <v>0</v>
      </c>
      <c r="H715" s="153"/>
      <c r="I715" s="154"/>
      <c r="J715" s="147"/>
      <c r="K715" s="154"/>
    </row>
    <row r="716" ht="22.5" customHeight="1">
      <c r="A716" s="147"/>
      <c r="B716" s="148"/>
      <c r="C716" s="149"/>
      <c r="D716" s="150"/>
      <c r="E716" s="151"/>
      <c r="F716" s="152"/>
      <c r="G716" s="152">
        <f t="shared" si="1"/>
        <v>0</v>
      </c>
      <c r="H716" s="153"/>
      <c r="I716" s="154"/>
      <c r="J716" s="147"/>
      <c r="K716" s="154"/>
    </row>
    <row r="717" ht="22.5" customHeight="1">
      <c r="A717" s="147"/>
      <c r="B717" s="148"/>
      <c r="C717" s="149"/>
      <c r="D717" s="150"/>
      <c r="E717" s="151"/>
      <c r="F717" s="152"/>
      <c r="G717" s="152">
        <f t="shared" si="1"/>
        <v>0</v>
      </c>
      <c r="H717" s="153"/>
      <c r="I717" s="154"/>
      <c r="J717" s="147"/>
      <c r="K717" s="154"/>
    </row>
    <row r="718" ht="22.5" customHeight="1">
      <c r="A718" s="147"/>
      <c r="B718" s="148"/>
      <c r="C718" s="149"/>
      <c r="D718" s="150"/>
      <c r="E718" s="151"/>
      <c r="F718" s="152"/>
      <c r="G718" s="152">
        <f t="shared" si="1"/>
        <v>0</v>
      </c>
      <c r="H718" s="153"/>
      <c r="I718" s="154"/>
      <c r="J718" s="147"/>
      <c r="K718" s="154"/>
    </row>
    <row r="719" ht="22.5" customHeight="1">
      <c r="A719" s="147"/>
      <c r="B719" s="148"/>
      <c r="C719" s="149"/>
      <c r="D719" s="150"/>
      <c r="E719" s="151"/>
      <c r="F719" s="152"/>
      <c r="G719" s="152">
        <f t="shared" si="1"/>
        <v>0</v>
      </c>
      <c r="H719" s="153"/>
      <c r="I719" s="154"/>
      <c r="J719" s="147"/>
      <c r="K719" s="154"/>
    </row>
    <row r="720" ht="22.5" customHeight="1">
      <c r="A720" s="147"/>
      <c r="B720" s="148"/>
      <c r="C720" s="149"/>
      <c r="D720" s="150"/>
      <c r="E720" s="151"/>
      <c r="F720" s="152"/>
      <c r="G720" s="152">
        <f t="shared" si="1"/>
        <v>0</v>
      </c>
      <c r="H720" s="153"/>
      <c r="I720" s="154"/>
      <c r="J720" s="147"/>
      <c r="K720" s="154"/>
    </row>
    <row r="721" ht="22.5" customHeight="1">
      <c r="A721" s="147"/>
      <c r="B721" s="148"/>
      <c r="C721" s="149"/>
      <c r="D721" s="150"/>
      <c r="E721" s="151"/>
      <c r="F721" s="152"/>
      <c r="G721" s="152">
        <f t="shared" si="1"/>
        <v>0</v>
      </c>
      <c r="H721" s="153"/>
      <c r="I721" s="154"/>
      <c r="J721" s="147"/>
      <c r="K721" s="154"/>
    </row>
    <row r="722" ht="22.5" customHeight="1">
      <c r="A722" s="147"/>
      <c r="B722" s="148"/>
      <c r="C722" s="149"/>
      <c r="D722" s="150"/>
      <c r="E722" s="151"/>
      <c r="F722" s="152"/>
      <c r="G722" s="152">
        <f t="shared" si="1"/>
        <v>0</v>
      </c>
      <c r="H722" s="153"/>
      <c r="I722" s="154"/>
      <c r="J722" s="147"/>
      <c r="K722" s="154"/>
    </row>
    <row r="723" ht="22.5" customHeight="1">
      <c r="A723" s="147"/>
      <c r="B723" s="148"/>
      <c r="C723" s="149"/>
      <c r="D723" s="150"/>
      <c r="E723" s="151"/>
      <c r="F723" s="152"/>
      <c r="G723" s="152">
        <f t="shared" si="1"/>
        <v>0</v>
      </c>
      <c r="H723" s="153"/>
      <c r="I723" s="154"/>
      <c r="J723" s="147"/>
      <c r="K723" s="154"/>
    </row>
    <row r="724" ht="22.5" customHeight="1">
      <c r="A724" s="147"/>
      <c r="B724" s="148"/>
      <c r="C724" s="149"/>
      <c r="D724" s="150"/>
      <c r="E724" s="151"/>
      <c r="F724" s="152"/>
      <c r="G724" s="152">
        <f t="shared" si="1"/>
        <v>0</v>
      </c>
      <c r="H724" s="153"/>
      <c r="I724" s="154"/>
      <c r="J724" s="147"/>
      <c r="K724" s="154"/>
    </row>
    <row r="725" ht="22.5" customHeight="1">
      <c r="A725" s="147"/>
      <c r="B725" s="148"/>
      <c r="C725" s="149"/>
      <c r="D725" s="150"/>
      <c r="E725" s="151"/>
      <c r="F725" s="152"/>
      <c r="G725" s="152">
        <f t="shared" si="1"/>
        <v>0</v>
      </c>
      <c r="H725" s="153"/>
      <c r="I725" s="154"/>
      <c r="J725" s="147"/>
      <c r="K725" s="154"/>
    </row>
    <row r="726" ht="22.5" customHeight="1">
      <c r="A726" s="147"/>
      <c r="B726" s="148"/>
      <c r="C726" s="149"/>
      <c r="D726" s="150"/>
      <c r="E726" s="151"/>
      <c r="F726" s="152"/>
      <c r="G726" s="152">
        <f t="shared" si="1"/>
        <v>0</v>
      </c>
      <c r="H726" s="153"/>
      <c r="I726" s="154"/>
      <c r="J726" s="147"/>
      <c r="K726" s="154"/>
    </row>
    <row r="727" ht="22.5" customHeight="1">
      <c r="A727" s="147"/>
      <c r="B727" s="148"/>
      <c r="C727" s="149"/>
      <c r="D727" s="150"/>
      <c r="E727" s="151"/>
      <c r="F727" s="152"/>
      <c r="G727" s="152">
        <f t="shared" si="1"/>
        <v>0</v>
      </c>
      <c r="H727" s="153"/>
      <c r="I727" s="154"/>
      <c r="J727" s="147"/>
      <c r="K727" s="154"/>
    </row>
    <row r="728" ht="22.5" customHeight="1">
      <c r="A728" s="147"/>
      <c r="B728" s="148"/>
      <c r="C728" s="149"/>
      <c r="D728" s="150"/>
      <c r="E728" s="151"/>
      <c r="F728" s="152"/>
      <c r="G728" s="152">
        <f t="shared" si="1"/>
        <v>0</v>
      </c>
      <c r="H728" s="153"/>
      <c r="I728" s="154"/>
      <c r="J728" s="147"/>
      <c r="K728" s="154"/>
    </row>
    <row r="729" ht="22.5" customHeight="1">
      <c r="A729" s="147"/>
      <c r="B729" s="148"/>
      <c r="C729" s="149"/>
      <c r="D729" s="150"/>
      <c r="E729" s="151"/>
      <c r="F729" s="152"/>
      <c r="G729" s="152">
        <f t="shared" si="1"/>
        <v>0</v>
      </c>
      <c r="H729" s="153"/>
      <c r="I729" s="154"/>
      <c r="J729" s="147"/>
      <c r="K729" s="154"/>
    </row>
    <row r="730" ht="22.5" customHeight="1">
      <c r="A730" s="147"/>
      <c r="B730" s="148"/>
      <c r="C730" s="149"/>
      <c r="D730" s="150"/>
      <c r="E730" s="151"/>
      <c r="F730" s="152"/>
      <c r="G730" s="152">
        <f t="shared" si="1"/>
        <v>0</v>
      </c>
      <c r="H730" s="153"/>
      <c r="I730" s="154"/>
      <c r="J730" s="147"/>
      <c r="K730" s="154"/>
    </row>
    <row r="731" ht="22.5" customHeight="1">
      <c r="A731" s="147"/>
      <c r="B731" s="148"/>
      <c r="C731" s="149"/>
      <c r="D731" s="150"/>
      <c r="E731" s="151"/>
      <c r="F731" s="152"/>
      <c r="G731" s="152">
        <f t="shared" si="1"/>
        <v>0</v>
      </c>
      <c r="H731" s="153"/>
      <c r="I731" s="154"/>
      <c r="J731" s="147"/>
      <c r="K731" s="154"/>
    </row>
    <row r="732" ht="22.5" customHeight="1">
      <c r="A732" s="147"/>
      <c r="B732" s="148"/>
      <c r="C732" s="149"/>
      <c r="D732" s="150"/>
      <c r="E732" s="151"/>
      <c r="F732" s="152"/>
      <c r="G732" s="152">
        <f t="shared" si="1"/>
        <v>0</v>
      </c>
      <c r="H732" s="153"/>
      <c r="I732" s="154"/>
      <c r="J732" s="147"/>
      <c r="K732" s="154"/>
    </row>
    <row r="733" ht="22.5" customHeight="1">
      <c r="A733" s="147"/>
      <c r="B733" s="148"/>
      <c r="C733" s="149"/>
      <c r="D733" s="150"/>
      <c r="E733" s="151"/>
      <c r="F733" s="152"/>
      <c r="G733" s="152">
        <f t="shared" si="1"/>
        <v>0</v>
      </c>
      <c r="H733" s="153"/>
      <c r="I733" s="154"/>
      <c r="J733" s="147"/>
      <c r="K733" s="154"/>
    </row>
    <row r="734" ht="22.5" customHeight="1">
      <c r="A734" s="147"/>
      <c r="B734" s="148"/>
      <c r="C734" s="149"/>
      <c r="D734" s="150"/>
      <c r="E734" s="151"/>
      <c r="F734" s="152"/>
      <c r="G734" s="152">
        <f t="shared" si="1"/>
        <v>0</v>
      </c>
      <c r="H734" s="153"/>
      <c r="I734" s="154"/>
      <c r="J734" s="147"/>
      <c r="K734" s="154"/>
    </row>
    <row r="735" ht="22.5" customHeight="1">
      <c r="A735" s="147"/>
      <c r="B735" s="148"/>
      <c r="C735" s="149"/>
      <c r="D735" s="150"/>
      <c r="E735" s="151"/>
      <c r="F735" s="152"/>
      <c r="G735" s="152">
        <f t="shared" si="1"/>
        <v>0</v>
      </c>
      <c r="H735" s="153"/>
      <c r="I735" s="154"/>
      <c r="J735" s="147"/>
      <c r="K735" s="154"/>
    </row>
    <row r="736" ht="22.5" customHeight="1">
      <c r="A736" s="147"/>
      <c r="B736" s="148"/>
      <c r="C736" s="149"/>
      <c r="D736" s="150"/>
      <c r="E736" s="151"/>
      <c r="F736" s="152"/>
      <c r="G736" s="152">
        <f t="shared" si="1"/>
        <v>0</v>
      </c>
      <c r="H736" s="153"/>
      <c r="I736" s="154"/>
      <c r="J736" s="147"/>
      <c r="K736" s="154"/>
    </row>
    <row r="737" ht="22.5" customHeight="1">
      <c r="A737" s="147"/>
      <c r="B737" s="148"/>
      <c r="C737" s="149"/>
      <c r="D737" s="150"/>
      <c r="E737" s="151"/>
      <c r="F737" s="152"/>
      <c r="G737" s="152">
        <f t="shared" si="1"/>
        <v>0</v>
      </c>
      <c r="H737" s="153"/>
      <c r="I737" s="154"/>
      <c r="J737" s="147"/>
      <c r="K737" s="154"/>
    </row>
    <row r="738" ht="22.5" customHeight="1">
      <c r="A738" s="147"/>
      <c r="B738" s="148"/>
      <c r="C738" s="149"/>
      <c r="D738" s="150"/>
      <c r="E738" s="151"/>
      <c r="F738" s="152"/>
      <c r="G738" s="152">
        <f t="shared" si="1"/>
        <v>0</v>
      </c>
      <c r="H738" s="153"/>
      <c r="I738" s="154"/>
      <c r="J738" s="147"/>
      <c r="K738" s="154"/>
    </row>
    <row r="739" ht="22.5" customHeight="1">
      <c r="A739" s="147"/>
      <c r="B739" s="148"/>
      <c r="C739" s="149"/>
      <c r="D739" s="150"/>
      <c r="E739" s="151"/>
      <c r="F739" s="152"/>
      <c r="G739" s="152">
        <f t="shared" si="1"/>
        <v>0</v>
      </c>
      <c r="H739" s="153"/>
      <c r="I739" s="154"/>
      <c r="J739" s="147"/>
      <c r="K739" s="154"/>
    </row>
    <row r="740" ht="22.5" customHeight="1">
      <c r="A740" s="147"/>
      <c r="B740" s="148"/>
      <c r="C740" s="149"/>
      <c r="D740" s="150"/>
      <c r="E740" s="151"/>
      <c r="F740" s="152"/>
      <c r="G740" s="152">
        <f t="shared" si="1"/>
        <v>0</v>
      </c>
      <c r="H740" s="153"/>
      <c r="I740" s="154"/>
      <c r="J740" s="147"/>
      <c r="K740" s="154"/>
    </row>
    <row r="741" ht="22.5" customHeight="1">
      <c r="A741" s="147"/>
      <c r="B741" s="148"/>
      <c r="C741" s="149"/>
      <c r="D741" s="150"/>
      <c r="E741" s="151"/>
      <c r="F741" s="152"/>
      <c r="G741" s="152">
        <f t="shared" si="1"/>
        <v>0</v>
      </c>
      <c r="H741" s="153"/>
      <c r="I741" s="154"/>
      <c r="J741" s="147"/>
      <c r="K741" s="154"/>
    </row>
    <row r="742" ht="22.5" customHeight="1">
      <c r="A742" s="147"/>
      <c r="B742" s="148"/>
      <c r="C742" s="149"/>
      <c r="D742" s="150"/>
      <c r="E742" s="151"/>
      <c r="F742" s="152"/>
      <c r="G742" s="152">
        <f t="shared" si="1"/>
        <v>0</v>
      </c>
      <c r="H742" s="153"/>
      <c r="I742" s="154"/>
      <c r="J742" s="147"/>
      <c r="K742" s="154"/>
    </row>
    <row r="743" ht="22.5" customHeight="1">
      <c r="A743" s="147"/>
      <c r="B743" s="148"/>
      <c r="C743" s="149"/>
      <c r="D743" s="150"/>
      <c r="E743" s="151"/>
      <c r="F743" s="152"/>
      <c r="G743" s="152">
        <f t="shared" si="1"/>
        <v>0</v>
      </c>
      <c r="H743" s="153"/>
      <c r="I743" s="154"/>
      <c r="J743" s="147"/>
      <c r="K743" s="154"/>
    </row>
    <row r="744" ht="22.5" customHeight="1">
      <c r="A744" s="147"/>
      <c r="B744" s="148"/>
      <c r="C744" s="149"/>
      <c r="D744" s="150"/>
      <c r="E744" s="151"/>
      <c r="F744" s="152"/>
      <c r="G744" s="152">
        <f t="shared" si="1"/>
        <v>0</v>
      </c>
      <c r="H744" s="153"/>
      <c r="I744" s="154"/>
      <c r="J744" s="147"/>
      <c r="K744" s="154"/>
    </row>
    <row r="745" ht="22.5" customHeight="1">
      <c r="A745" s="147"/>
      <c r="B745" s="148"/>
      <c r="C745" s="149"/>
      <c r="D745" s="150"/>
      <c r="E745" s="151"/>
      <c r="F745" s="152"/>
      <c r="G745" s="152">
        <f t="shared" si="1"/>
        <v>0</v>
      </c>
      <c r="H745" s="153"/>
      <c r="I745" s="154"/>
      <c r="J745" s="147"/>
      <c r="K745" s="154"/>
    </row>
    <row r="746" ht="22.5" customHeight="1">
      <c r="A746" s="147"/>
      <c r="B746" s="148"/>
      <c r="C746" s="149"/>
      <c r="D746" s="150"/>
      <c r="E746" s="151"/>
      <c r="F746" s="152"/>
      <c r="G746" s="152">
        <f t="shared" si="1"/>
        <v>0</v>
      </c>
      <c r="H746" s="153"/>
      <c r="I746" s="154"/>
      <c r="J746" s="147"/>
      <c r="K746" s="154"/>
    </row>
    <row r="747" ht="22.5" customHeight="1">
      <c r="A747" s="147"/>
      <c r="B747" s="148"/>
      <c r="C747" s="149"/>
      <c r="D747" s="150"/>
      <c r="E747" s="151"/>
      <c r="F747" s="152"/>
      <c r="G747" s="152">
        <f t="shared" si="1"/>
        <v>0</v>
      </c>
      <c r="H747" s="153"/>
      <c r="I747" s="154"/>
      <c r="J747" s="147"/>
      <c r="K747" s="154"/>
    </row>
    <row r="748" ht="22.5" customHeight="1">
      <c r="A748" s="147"/>
      <c r="B748" s="148"/>
      <c r="C748" s="149"/>
      <c r="D748" s="150"/>
      <c r="E748" s="151"/>
      <c r="F748" s="152"/>
      <c r="G748" s="152">
        <f t="shared" si="1"/>
        <v>0</v>
      </c>
      <c r="H748" s="153"/>
      <c r="I748" s="154"/>
      <c r="J748" s="147"/>
      <c r="K748" s="154"/>
    </row>
    <row r="749" ht="22.5" customHeight="1">
      <c r="A749" s="147"/>
      <c r="B749" s="148"/>
      <c r="C749" s="149"/>
      <c r="D749" s="150"/>
      <c r="E749" s="151"/>
      <c r="F749" s="152"/>
      <c r="G749" s="152">
        <f t="shared" si="1"/>
        <v>0</v>
      </c>
      <c r="H749" s="153"/>
      <c r="I749" s="154"/>
      <c r="J749" s="147"/>
      <c r="K749" s="154"/>
    </row>
    <row r="750" ht="22.5" customHeight="1">
      <c r="A750" s="147"/>
      <c r="B750" s="148"/>
      <c r="C750" s="149"/>
      <c r="D750" s="150"/>
      <c r="E750" s="151"/>
      <c r="F750" s="152"/>
      <c r="G750" s="152">
        <f t="shared" si="1"/>
        <v>0</v>
      </c>
      <c r="H750" s="153"/>
      <c r="I750" s="154"/>
      <c r="J750" s="147"/>
      <c r="K750" s="154"/>
    </row>
    <row r="751" ht="22.5" customHeight="1">
      <c r="A751" s="147"/>
      <c r="B751" s="148"/>
      <c r="C751" s="149"/>
      <c r="D751" s="150"/>
      <c r="E751" s="151"/>
      <c r="F751" s="152"/>
      <c r="G751" s="152">
        <f t="shared" si="1"/>
        <v>0</v>
      </c>
      <c r="H751" s="153"/>
      <c r="I751" s="154"/>
      <c r="J751" s="147"/>
      <c r="K751" s="154"/>
    </row>
    <row r="752" ht="22.5" customHeight="1">
      <c r="A752" s="147"/>
      <c r="B752" s="148"/>
      <c r="C752" s="149"/>
      <c r="D752" s="150"/>
      <c r="E752" s="151"/>
      <c r="F752" s="152"/>
      <c r="G752" s="152">
        <f t="shared" si="1"/>
        <v>0</v>
      </c>
      <c r="H752" s="153"/>
      <c r="I752" s="154"/>
      <c r="J752" s="147"/>
      <c r="K752" s="154"/>
    </row>
    <row r="753" ht="22.5" customHeight="1">
      <c r="A753" s="147"/>
      <c r="B753" s="148"/>
      <c r="C753" s="149"/>
      <c r="D753" s="150"/>
      <c r="E753" s="151"/>
      <c r="F753" s="152"/>
      <c r="G753" s="152">
        <f t="shared" si="1"/>
        <v>0</v>
      </c>
      <c r="H753" s="153"/>
      <c r="I753" s="154"/>
      <c r="J753" s="147"/>
      <c r="K753" s="154"/>
    </row>
    <row r="754" ht="22.5" customHeight="1">
      <c r="A754" s="147"/>
      <c r="B754" s="148"/>
      <c r="C754" s="149"/>
      <c r="D754" s="150"/>
      <c r="E754" s="151"/>
      <c r="F754" s="152"/>
      <c r="G754" s="152">
        <f t="shared" si="1"/>
        <v>0</v>
      </c>
      <c r="H754" s="153"/>
      <c r="I754" s="154"/>
      <c r="J754" s="147"/>
      <c r="K754" s="154"/>
    </row>
    <row r="755" ht="22.5" customHeight="1">
      <c r="A755" s="147"/>
      <c r="B755" s="148"/>
      <c r="C755" s="149"/>
      <c r="D755" s="150"/>
      <c r="E755" s="151"/>
      <c r="F755" s="152"/>
      <c r="G755" s="152">
        <f t="shared" si="1"/>
        <v>0</v>
      </c>
      <c r="H755" s="153"/>
      <c r="I755" s="154"/>
      <c r="J755" s="147"/>
      <c r="K755" s="154"/>
    </row>
    <row r="756" ht="22.5" customHeight="1">
      <c r="A756" s="147"/>
      <c r="B756" s="148"/>
      <c r="C756" s="149"/>
      <c r="D756" s="150"/>
      <c r="E756" s="151"/>
      <c r="F756" s="152"/>
      <c r="G756" s="152">
        <f t="shared" si="1"/>
        <v>0</v>
      </c>
      <c r="H756" s="153"/>
      <c r="I756" s="154"/>
      <c r="J756" s="147"/>
      <c r="K756" s="154"/>
    </row>
    <row r="757" ht="22.5" customHeight="1">
      <c r="A757" s="147"/>
      <c r="B757" s="148"/>
      <c r="C757" s="149"/>
      <c r="D757" s="150"/>
      <c r="E757" s="151"/>
      <c r="F757" s="152"/>
      <c r="G757" s="152">
        <f t="shared" si="1"/>
        <v>0</v>
      </c>
      <c r="H757" s="153"/>
      <c r="I757" s="154"/>
      <c r="J757" s="147"/>
      <c r="K757" s="154"/>
    </row>
    <row r="758" ht="22.5" customHeight="1">
      <c r="A758" s="147"/>
      <c r="B758" s="148"/>
      <c r="C758" s="149"/>
      <c r="D758" s="150"/>
      <c r="E758" s="151"/>
      <c r="F758" s="152"/>
      <c r="G758" s="152">
        <f t="shared" si="1"/>
        <v>0</v>
      </c>
      <c r="H758" s="153"/>
      <c r="I758" s="154"/>
      <c r="J758" s="147"/>
      <c r="K758" s="154"/>
    </row>
    <row r="759" ht="22.5" customHeight="1">
      <c r="A759" s="147"/>
      <c r="B759" s="148"/>
      <c r="C759" s="149"/>
      <c r="D759" s="150"/>
      <c r="E759" s="151"/>
      <c r="F759" s="152"/>
      <c r="G759" s="152">
        <f t="shared" si="1"/>
        <v>0</v>
      </c>
      <c r="H759" s="153"/>
      <c r="I759" s="154"/>
      <c r="J759" s="147"/>
      <c r="K759" s="154"/>
    </row>
    <row r="760" ht="22.5" customHeight="1">
      <c r="A760" s="147"/>
      <c r="B760" s="148"/>
      <c r="C760" s="149"/>
      <c r="D760" s="150"/>
      <c r="E760" s="151"/>
      <c r="F760" s="152"/>
      <c r="G760" s="152">
        <f t="shared" si="1"/>
        <v>0</v>
      </c>
      <c r="H760" s="153"/>
      <c r="I760" s="154"/>
      <c r="J760" s="147"/>
      <c r="K760" s="154"/>
    </row>
    <row r="761" ht="22.5" customHeight="1">
      <c r="A761" s="147"/>
      <c r="B761" s="148"/>
      <c r="C761" s="149"/>
      <c r="D761" s="150"/>
      <c r="E761" s="151"/>
      <c r="F761" s="152"/>
      <c r="G761" s="152">
        <f t="shared" si="1"/>
        <v>0</v>
      </c>
      <c r="H761" s="153"/>
      <c r="I761" s="154"/>
      <c r="J761" s="147"/>
      <c r="K761" s="154"/>
    </row>
    <row r="762" ht="22.5" customHeight="1">
      <c r="A762" s="147"/>
      <c r="B762" s="148"/>
      <c r="C762" s="149"/>
      <c r="D762" s="150"/>
      <c r="E762" s="151"/>
      <c r="F762" s="152"/>
      <c r="G762" s="152">
        <f t="shared" si="1"/>
        <v>0</v>
      </c>
      <c r="H762" s="153"/>
      <c r="I762" s="154"/>
      <c r="J762" s="147"/>
      <c r="K762" s="154"/>
    </row>
    <row r="763" ht="22.5" customHeight="1">
      <c r="A763" s="147"/>
      <c r="B763" s="148"/>
      <c r="C763" s="149"/>
      <c r="D763" s="150"/>
      <c r="E763" s="151"/>
      <c r="F763" s="152"/>
      <c r="G763" s="152">
        <f t="shared" si="1"/>
        <v>0</v>
      </c>
      <c r="H763" s="153"/>
      <c r="I763" s="154"/>
      <c r="J763" s="147"/>
      <c r="K763" s="154"/>
    </row>
    <row r="764" ht="22.5" customHeight="1">
      <c r="A764" s="147"/>
      <c r="B764" s="148"/>
      <c r="C764" s="149"/>
      <c r="D764" s="150"/>
      <c r="E764" s="151"/>
      <c r="F764" s="152"/>
      <c r="G764" s="152">
        <f t="shared" si="1"/>
        <v>0</v>
      </c>
      <c r="H764" s="153"/>
      <c r="I764" s="154"/>
      <c r="J764" s="147"/>
      <c r="K764" s="154"/>
    </row>
    <row r="765" ht="22.5" customHeight="1">
      <c r="A765" s="147"/>
      <c r="B765" s="148"/>
      <c r="C765" s="149"/>
      <c r="D765" s="150"/>
      <c r="E765" s="151"/>
      <c r="F765" s="152"/>
      <c r="G765" s="152">
        <f t="shared" si="1"/>
        <v>0</v>
      </c>
      <c r="H765" s="153"/>
      <c r="I765" s="154"/>
      <c r="J765" s="147"/>
      <c r="K765" s="154"/>
    </row>
    <row r="766" ht="22.5" customHeight="1">
      <c r="A766" s="147"/>
      <c r="B766" s="148"/>
      <c r="C766" s="149"/>
      <c r="D766" s="150"/>
      <c r="E766" s="151"/>
      <c r="F766" s="152"/>
      <c r="G766" s="152">
        <f t="shared" si="1"/>
        <v>0</v>
      </c>
      <c r="H766" s="153"/>
      <c r="I766" s="154"/>
      <c r="J766" s="147"/>
      <c r="K766" s="154"/>
    </row>
    <row r="767" ht="22.5" customHeight="1">
      <c r="A767" s="147"/>
      <c r="B767" s="148"/>
      <c r="C767" s="149"/>
      <c r="D767" s="150"/>
      <c r="E767" s="151"/>
      <c r="F767" s="152"/>
      <c r="G767" s="152">
        <f t="shared" si="1"/>
        <v>0</v>
      </c>
      <c r="H767" s="153"/>
      <c r="I767" s="154"/>
      <c r="J767" s="147"/>
      <c r="K767" s="154"/>
    </row>
    <row r="768" ht="22.5" customHeight="1">
      <c r="A768" s="147"/>
      <c r="B768" s="148"/>
      <c r="C768" s="149"/>
      <c r="D768" s="150"/>
      <c r="E768" s="151"/>
      <c r="F768" s="152"/>
      <c r="G768" s="152">
        <f t="shared" si="1"/>
        <v>0</v>
      </c>
      <c r="H768" s="153"/>
      <c r="I768" s="154"/>
      <c r="J768" s="147"/>
      <c r="K768" s="154"/>
    </row>
    <row r="769" ht="22.5" customHeight="1">
      <c r="A769" s="147"/>
      <c r="B769" s="148"/>
      <c r="C769" s="149"/>
      <c r="D769" s="150"/>
      <c r="E769" s="151"/>
      <c r="F769" s="152"/>
      <c r="G769" s="152">
        <f t="shared" si="1"/>
        <v>0</v>
      </c>
      <c r="H769" s="153"/>
      <c r="I769" s="154"/>
      <c r="J769" s="147"/>
      <c r="K769" s="154"/>
    </row>
    <row r="770" ht="22.5" customHeight="1">
      <c r="A770" s="147"/>
      <c r="B770" s="148"/>
      <c r="C770" s="149"/>
      <c r="D770" s="150"/>
      <c r="E770" s="151"/>
      <c r="F770" s="152"/>
      <c r="G770" s="152">
        <f t="shared" si="1"/>
        <v>0</v>
      </c>
      <c r="H770" s="153"/>
      <c r="I770" s="154"/>
      <c r="J770" s="147"/>
      <c r="K770" s="154"/>
    </row>
    <row r="771" ht="22.5" customHeight="1">
      <c r="A771" s="147"/>
      <c r="B771" s="148"/>
      <c r="C771" s="149"/>
      <c r="D771" s="150"/>
      <c r="E771" s="151"/>
      <c r="F771" s="152"/>
      <c r="G771" s="152">
        <f t="shared" si="1"/>
        <v>0</v>
      </c>
      <c r="H771" s="153"/>
      <c r="I771" s="154"/>
      <c r="J771" s="147"/>
      <c r="K771" s="154"/>
    </row>
    <row r="772" ht="22.5" customHeight="1">
      <c r="A772" s="147"/>
      <c r="B772" s="148"/>
      <c r="C772" s="149"/>
      <c r="D772" s="150"/>
      <c r="E772" s="151"/>
      <c r="F772" s="152"/>
      <c r="G772" s="152">
        <f t="shared" si="1"/>
        <v>0</v>
      </c>
      <c r="H772" s="153"/>
      <c r="I772" s="154"/>
      <c r="J772" s="147"/>
      <c r="K772" s="154"/>
    </row>
    <row r="773" ht="22.5" customHeight="1">
      <c r="A773" s="147"/>
      <c r="B773" s="148"/>
      <c r="C773" s="149"/>
      <c r="D773" s="150"/>
      <c r="E773" s="151"/>
      <c r="F773" s="152"/>
      <c r="G773" s="152">
        <f t="shared" si="1"/>
        <v>0</v>
      </c>
      <c r="H773" s="153"/>
      <c r="I773" s="154"/>
      <c r="J773" s="147"/>
      <c r="K773" s="154"/>
    </row>
    <row r="774" ht="22.5" customHeight="1">
      <c r="A774" s="147"/>
      <c r="B774" s="148"/>
      <c r="C774" s="149"/>
      <c r="D774" s="150"/>
      <c r="E774" s="151"/>
      <c r="F774" s="152"/>
      <c r="G774" s="152">
        <f t="shared" si="1"/>
        <v>0</v>
      </c>
      <c r="H774" s="153"/>
      <c r="I774" s="154"/>
      <c r="J774" s="147"/>
      <c r="K774" s="154"/>
    </row>
    <row r="775" ht="22.5" customHeight="1">
      <c r="A775" s="147"/>
      <c r="B775" s="148"/>
      <c r="C775" s="149"/>
      <c r="D775" s="150"/>
      <c r="E775" s="151"/>
      <c r="F775" s="152"/>
      <c r="G775" s="152">
        <f t="shared" si="1"/>
        <v>0</v>
      </c>
      <c r="H775" s="153"/>
      <c r="I775" s="154"/>
      <c r="J775" s="147"/>
      <c r="K775" s="154"/>
    </row>
    <row r="776" ht="22.5" customHeight="1">
      <c r="A776" s="147"/>
      <c r="B776" s="148"/>
      <c r="C776" s="149"/>
      <c r="D776" s="150"/>
      <c r="E776" s="151"/>
      <c r="F776" s="152"/>
      <c r="G776" s="152">
        <f t="shared" si="1"/>
        <v>0</v>
      </c>
      <c r="H776" s="153"/>
      <c r="I776" s="154"/>
      <c r="J776" s="147"/>
      <c r="K776" s="154"/>
    </row>
    <row r="777" ht="22.5" customHeight="1">
      <c r="A777" s="147"/>
      <c r="B777" s="148"/>
      <c r="C777" s="149"/>
      <c r="D777" s="150"/>
      <c r="E777" s="151"/>
      <c r="F777" s="152"/>
      <c r="G777" s="152">
        <f t="shared" si="1"/>
        <v>0</v>
      </c>
      <c r="H777" s="153"/>
      <c r="I777" s="154"/>
      <c r="J777" s="147"/>
      <c r="K777" s="154"/>
    </row>
    <row r="778" ht="22.5" customHeight="1">
      <c r="A778" s="147"/>
      <c r="B778" s="148"/>
      <c r="C778" s="149"/>
      <c r="D778" s="150"/>
      <c r="E778" s="151"/>
      <c r="F778" s="152"/>
      <c r="G778" s="152">
        <f t="shared" si="1"/>
        <v>0</v>
      </c>
      <c r="H778" s="153"/>
      <c r="I778" s="154"/>
      <c r="J778" s="147"/>
      <c r="K778" s="154"/>
    </row>
    <row r="779" ht="22.5" customHeight="1">
      <c r="A779" s="147"/>
      <c r="B779" s="148"/>
      <c r="C779" s="149"/>
      <c r="D779" s="150"/>
      <c r="E779" s="151"/>
      <c r="F779" s="152"/>
      <c r="G779" s="152">
        <f t="shared" si="1"/>
        <v>0</v>
      </c>
      <c r="H779" s="153"/>
      <c r="I779" s="154"/>
      <c r="J779" s="147"/>
      <c r="K779" s="154"/>
    </row>
    <row r="780" ht="22.5" customHeight="1">
      <c r="A780" s="147"/>
      <c r="B780" s="148"/>
      <c r="C780" s="149"/>
      <c r="D780" s="150"/>
      <c r="E780" s="151"/>
      <c r="F780" s="152"/>
      <c r="G780" s="152">
        <f t="shared" si="1"/>
        <v>0</v>
      </c>
      <c r="H780" s="153"/>
      <c r="I780" s="154"/>
      <c r="J780" s="147"/>
      <c r="K780" s="154"/>
    </row>
    <row r="781" ht="22.5" customHeight="1">
      <c r="A781" s="147"/>
      <c r="B781" s="148"/>
      <c r="C781" s="149"/>
      <c r="D781" s="150"/>
      <c r="E781" s="151"/>
      <c r="F781" s="152"/>
      <c r="G781" s="152">
        <f t="shared" si="1"/>
        <v>0</v>
      </c>
      <c r="H781" s="153"/>
      <c r="I781" s="154"/>
      <c r="J781" s="147"/>
      <c r="K781" s="154"/>
    </row>
    <row r="782" ht="22.5" customHeight="1">
      <c r="A782" s="147"/>
      <c r="B782" s="148"/>
      <c r="C782" s="149"/>
      <c r="D782" s="150"/>
      <c r="E782" s="151"/>
      <c r="F782" s="152"/>
      <c r="G782" s="152">
        <f t="shared" si="1"/>
        <v>0</v>
      </c>
      <c r="H782" s="153"/>
      <c r="I782" s="154"/>
      <c r="J782" s="147"/>
      <c r="K782" s="154"/>
    </row>
    <row r="783" ht="22.5" customHeight="1">
      <c r="A783" s="147"/>
      <c r="B783" s="148"/>
      <c r="C783" s="149"/>
      <c r="D783" s="150"/>
      <c r="E783" s="151"/>
      <c r="F783" s="152"/>
      <c r="G783" s="152">
        <f t="shared" si="1"/>
        <v>0</v>
      </c>
      <c r="H783" s="153"/>
      <c r="I783" s="154"/>
      <c r="J783" s="147"/>
      <c r="K783" s="154"/>
    </row>
    <row r="784" ht="22.5" customHeight="1">
      <c r="A784" s="147"/>
      <c r="B784" s="148"/>
      <c r="C784" s="149"/>
      <c r="D784" s="150"/>
      <c r="E784" s="151"/>
      <c r="F784" s="152"/>
      <c r="G784" s="152">
        <f t="shared" si="1"/>
        <v>0</v>
      </c>
      <c r="H784" s="153"/>
      <c r="I784" s="154"/>
      <c r="J784" s="147"/>
      <c r="K784" s="154"/>
    </row>
    <row r="785" ht="22.5" customHeight="1">
      <c r="A785" s="147"/>
      <c r="B785" s="148"/>
      <c r="C785" s="149"/>
      <c r="D785" s="150"/>
      <c r="E785" s="151"/>
      <c r="F785" s="152"/>
      <c r="G785" s="152">
        <f t="shared" si="1"/>
        <v>0</v>
      </c>
      <c r="H785" s="153"/>
      <c r="I785" s="154"/>
      <c r="J785" s="147"/>
      <c r="K785" s="154"/>
    </row>
    <row r="786" ht="22.5" customHeight="1">
      <c r="A786" s="147"/>
      <c r="B786" s="148"/>
      <c r="C786" s="149"/>
      <c r="D786" s="150"/>
      <c r="E786" s="151"/>
      <c r="F786" s="152"/>
      <c r="G786" s="152">
        <f t="shared" si="1"/>
        <v>0</v>
      </c>
      <c r="H786" s="153"/>
      <c r="I786" s="154"/>
      <c r="J786" s="147"/>
      <c r="K786" s="154"/>
    </row>
    <row r="787" ht="22.5" customHeight="1">
      <c r="A787" s="147"/>
      <c r="B787" s="148"/>
      <c r="C787" s="149"/>
      <c r="D787" s="150"/>
      <c r="E787" s="151"/>
      <c r="F787" s="152"/>
      <c r="G787" s="152">
        <f t="shared" si="1"/>
        <v>0</v>
      </c>
      <c r="H787" s="153"/>
      <c r="I787" s="154"/>
      <c r="J787" s="147"/>
      <c r="K787" s="154"/>
    </row>
    <row r="788" ht="22.5" customHeight="1">
      <c r="A788" s="147"/>
      <c r="B788" s="148"/>
      <c r="C788" s="149"/>
      <c r="D788" s="150"/>
      <c r="E788" s="151"/>
      <c r="F788" s="152"/>
      <c r="G788" s="152">
        <f t="shared" si="1"/>
        <v>0</v>
      </c>
      <c r="H788" s="153"/>
      <c r="I788" s="154"/>
      <c r="J788" s="147"/>
      <c r="K788" s="154"/>
    </row>
    <row r="789" ht="22.5" customHeight="1">
      <c r="A789" s="147"/>
      <c r="B789" s="148"/>
      <c r="C789" s="149"/>
      <c r="D789" s="150"/>
      <c r="E789" s="151"/>
      <c r="F789" s="152"/>
      <c r="G789" s="152">
        <f t="shared" si="1"/>
        <v>0</v>
      </c>
      <c r="H789" s="153"/>
      <c r="I789" s="154"/>
      <c r="J789" s="147"/>
      <c r="K789" s="154"/>
    </row>
    <row r="790" ht="22.5" customHeight="1">
      <c r="A790" s="147"/>
      <c r="B790" s="148"/>
      <c r="C790" s="149"/>
      <c r="D790" s="150"/>
      <c r="E790" s="151"/>
      <c r="F790" s="152"/>
      <c r="G790" s="152">
        <f t="shared" si="1"/>
        <v>0</v>
      </c>
      <c r="H790" s="153"/>
      <c r="I790" s="154"/>
      <c r="J790" s="147"/>
      <c r="K790" s="154"/>
    </row>
    <row r="791" ht="22.5" customHeight="1">
      <c r="A791" s="147"/>
      <c r="B791" s="148"/>
      <c r="C791" s="149"/>
      <c r="D791" s="150"/>
      <c r="E791" s="151"/>
      <c r="F791" s="152"/>
      <c r="G791" s="152">
        <f t="shared" si="1"/>
        <v>0</v>
      </c>
      <c r="H791" s="153"/>
      <c r="I791" s="154"/>
      <c r="J791" s="147"/>
      <c r="K791" s="154"/>
    </row>
    <row r="792" ht="22.5" customHeight="1">
      <c r="A792" s="147"/>
      <c r="B792" s="148"/>
      <c r="C792" s="149"/>
      <c r="D792" s="150"/>
      <c r="E792" s="151"/>
      <c r="F792" s="152"/>
      <c r="G792" s="152">
        <f t="shared" si="1"/>
        <v>0</v>
      </c>
      <c r="H792" s="153"/>
      <c r="I792" s="154"/>
      <c r="J792" s="147"/>
      <c r="K792" s="154"/>
    </row>
    <row r="793" ht="22.5" customHeight="1">
      <c r="A793" s="147"/>
      <c r="B793" s="148"/>
      <c r="C793" s="149"/>
      <c r="D793" s="150"/>
      <c r="E793" s="151"/>
      <c r="F793" s="152"/>
      <c r="G793" s="152">
        <f t="shared" si="1"/>
        <v>0</v>
      </c>
      <c r="H793" s="153"/>
      <c r="I793" s="154"/>
      <c r="J793" s="147"/>
      <c r="K793" s="154"/>
    </row>
    <row r="794" ht="22.5" customHeight="1">
      <c r="A794" s="147"/>
      <c r="B794" s="148"/>
      <c r="C794" s="149"/>
      <c r="D794" s="150"/>
      <c r="E794" s="151"/>
      <c r="F794" s="152"/>
      <c r="G794" s="152">
        <f t="shared" si="1"/>
        <v>0</v>
      </c>
      <c r="H794" s="153"/>
      <c r="I794" s="154"/>
      <c r="J794" s="147"/>
      <c r="K794" s="154"/>
    </row>
    <row r="795" ht="22.5" customHeight="1">
      <c r="A795" s="147"/>
      <c r="B795" s="148"/>
      <c r="C795" s="149"/>
      <c r="D795" s="150"/>
      <c r="E795" s="151"/>
      <c r="F795" s="152"/>
      <c r="G795" s="152">
        <f t="shared" si="1"/>
        <v>0</v>
      </c>
      <c r="H795" s="153"/>
      <c r="I795" s="154"/>
      <c r="J795" s="147"/>
      <c r="K795" s="154"/>
    </row>
    <row r="796" ht="22.5" customHeight="1">
      <c r="A796" s="147"/>
      <c r="B796" s="148"/>
      <c r="C796" s="149"/>
      <c r="D796" s="150"/>
      <c r="E796" s="151"/>
      <c r="F796" s="152"/>
      <c r="G796" s="152">
        <f t="shared" si="1"/>
        <v>0</v>
      </c>
      <c r="H796" s="153"/>
      <c r="I796" s="154"/>
      <c r="J796" s="147"/>
      <c r="K796" s="154"/>
    </row>
    <row r="797" ht="22.5" customHeight="1">
      <c r="A797" s="147"/>
      <c r="B797" s="148"/>
      <c r="C797" s="149"/>
      <c r="D797" s="150"/>
      <c r="E797" s="151"/>
      <c r="F797" s="152"/>
      <c r="G797" s="152">
        <f t="shared" si="1"/>
        <v>0</v>
      </c>
      <c r="H797" s="153"/>
      <c r="I797" s="154"/>
      <c r="J797" s="147"/>
      <c r="K797" s="154"/>
    </row>
    <row r="798" ht="22.5" customHeight="1">
      <c r="A798" s="147"/>
      <c r="B798" s="148"/>
      <c r="C798" s="149"/>
      <c r="D798" s="150"/>
      <c r="E798" s="151"/>
      <c r="F798" s="152"/>
      <c r="G798" s="152">
        <f t="shared" si="1"/>
        <v>0</v>
      </c>
      <c r="H798" s="153"/>
      <c r="I798" s="154"/>
      <c r="J798" s="147"/>
      <c r="K798" s="154"/>
    </row>
    <row r="799" ht="22.5" customHeight="1">
      <c r="A799" s="147"/>
      <c r="B799" s="148"/>
      <c r="C799" s="149"/>
      <c r="D799" s="150"/>
      <c r="E799" s="151"/>
      <c r="F799" s="152"/>
      <c r="G799" s="152">
        <f t="shared" si="1"/>
        <v>0</v>
      </c>
      <c r="H799" s="153"/>
      <c r="I799" s="154"/>
      <c r="J799" s="147"/>
      <c r="K799" s="154"/>
    </row>
    <row r="800" ht="22.5" customHeight="1">
      <c r="A800" s="147"/>
      <c r="B800" s="148"/>
      <c r="C800" s="149"/>
      <c r="D800" s="150"/>
      <c r="E800" s="151"/>
      <c r="F800" s="152"/>
      <c r="G800" s="152">
        <f t="shared" si="1"/>
        <v>0</v>
      </c>
      <c r="H800" s="153"/>
      <c r="I800" s="154"/>
      <c r="J800" s="147"/>
      <c r="K800" s="154"/>
    </row>
    <row r="801" ht="22.5" customHeight="1">
      <c r="A801" s="147"/>
      <c r="B801" s="148"/>
      <c r="C801" s="149"/>
      <c r="D801" s="150"/>
      <c r="E801" s="151"/>
      <c r="F801" s="152"/>
      <c r="G801" s="152">
        <f t="shared" si="1"/>
        <v>0</v>
      </c>
      <c r="H801" s="153"/>
      <c r="I801" s="154"/>
      <c r="J801" s="147"/>
      <c r="K801" s="154"/>
    </row>
    <row r="802" ht="22.5" customHeight="1">
      <c r="A802" s="147"/>
      <c r="B802" s="148"/>
      <c r="C802" s="149"/>
      <c r="D802" s="150"/>
      <c r="E802" s="151"/>
      <c r="F802" s="152"/>
      <c r="G802" s="152">
        <f t="shared" si="1"/>
        <v>0</v>
      </c>
      <c r="H802" s="153"/>
      <c r="I802" s="154"/>
      <c r="J802" s="147"/>
      <c r="K802" s="154"/>
    </row>
    <row r="803" ht="22.5" customHeight="1">
      <c r="A803" s="147"/>
      <c r="B803" s="148"/>
      <c r="C803" s="149"/>
      <c r="D803" s="150"/>
      <c r="E803" s="151"/>
      <c r="F803" s="152"/>
      <c r="G803" s="152">
        <f t="shared" si="1"/>
        <v>0</v>
      </c>
      <c r="H803" s="153"/>
      <c r="I803" s="154"/>
      <c r="J803" s="147"/>
      <c r="K803" s="154"/>
    </row>
    <row r="804" ht="22.5" customHeight="1">
      <c r="A804" s="147"/>
      <c r="B804" s="148"/>
      <c r="C804" s="149"/>
      <c r="D804" s="150"/>
      <c r="E804" s="151"/>
      <c r="F804" s="152"/>
      <c r="G804" s="152">
        <f t="shared" si="1"/>
        <v>0</v>
      </c>
      <c r="H804" s="153"/>
      <c r="I804" s="154"/>
      <c r="J804" s="147"/>
      <c r="K804" s="154"/>
    </row>
    <row r="805" ht="22.5" customHeight="1">
      <c r="A805" s="147"/>
      <c r="B805" s="148"/>
      <c r="C805" s="149"/>
      <c r="D805" s="150"/>
      <c r="E805" s="151"/>
      <c r="F805" s="152"/>
      <c r="G805" s="152">
        <f t="shared" si="1"/>
        <v>0</v>
      </c>
      <c r="H805" s="153"/>
      <c r="I805" s="154"/>
      <c r="J805" s="147"/>
      <c r="K805" s="154"/>
    </row>
    <row r="806" ht="22.5" customHeight="1">
      <c r="A806" s="147"/>
      <c r="B806" s="148"/>
      <c r="C806" s="149"/>
      <c r="D806" s="150"/>
      <c r="E806" s="151"/>
      <c r="F806" s="152"/>
      <c r="G806" s="152">
        <f t="shared" si="1"/>
        <v>0</v>
      </c>
      <c r="H806" s="153"/>
      <c r="I806" s="154"/>
      <c r="J806" s="147"/>
      <c r="K806" s="154"/>
    </row>
    <row r="807" ht="22.5" customHeight="1">
      <c r="A807" s="147"/>
      <c r="B807" s="148"/>
      <c r="C807" s="149"/>
      <c r="D807" s="150"/>
      <c r="E807" s="151"/>
      <c r="F807" s="152"/>
      <c r="G807" s="152">
        <f t="shared" si="1"/>
        <v>0</v>
      </c>
      <c r="H807" s="153"/>
      <c r="I807" s="154"/>
      <c r="J807" s="147"/>
      <c r="K807" s="154"/>
    </row>
    <row r="808" ht="22.5" customHeight="1">
      <c r="A808" s="147"/>
      <c r="B808" s="148"/>
      <c r="C808" s="149"/>
      <c r="D808" s="150"/>
      <c r="E808" s="151"/>
      <c r="F808" s="152"/>
      <c r="G808" s="152">
        <f t="shared" si="1"/>
        <v>0</v>
      </c>
      <c r="H808" s="153"/>
      <c r="I808" s="154"/>
      <c r="J808" s="147"/>
      <c r="K808" s="154"/>
    </row>
    <row r="809" ht="22.5" customHeight="1">
      <c r="A809" s="147"/>
      <c r="B809" s="148"/>
      <c r="C809" s="149"/>
      <c r="D809" s="150"/>
      <c r="E809" s="151"/>
      <c r="F809" s="152"/>
      <c r="G809" s="152">
        <f t="shared" si="1"/>
        <v>0</v>
      </c>
      <c r="H809" s="153"/>
      <c r="I809" s="154"/>
      <c r="J809" s="147"/>
      <c r="K809" s="154"/>
    </row>
    <row r="810" ht="22.5" customHeight="1">
      <c r="A810" s="147"/>
      <c r="B810" s="148"/>
      <c r="C810" s="149"/>
      <c r="D810" s="150"/>
      <c r="E810" s="151"/>
      <c r="F810" s="152"/>
      <c r="G810" s="152">
        <f t="shared" si="1"/>
        <v>0</v>
      </c>
      <c r="H810" s="153"/>
      <c r="I810" s="154"/>
      <c r="J810" s="147"/>
      <c r="K810" s="154"/>
    </row>
    <row r="811" ht="22.5" customHeight="1">
      <c r="A811" s="147"/>
      <c r="B811" s="148"/>
      <c r="C811" s="149"/>
      <c r="D811" s="150"/>
      <c r="E811" s="151"/>
      <c r="F811" s="152"/>
      <c r="G811" s="152">
        <f t="shared" si="1"/>
        <v>0</v>
      </c>
      <c r="H811" s="153"/>
      <c r="I811" s="154"/>
      <c r="J811" s="147"/>
      <c r="K811" s="154"/>
    </row>
    <row r="812" ht="22.5" customHeight="1">
      <c r="A812" s="147"/>
      <c r="B812" s="148"/>
      <c r="C812" s="149"/>
      <c r="D812" s="150"/>
      <c r="E812" s="151"/>
      <c r="F812" s="152"/>
      <c r="G812" s="152">
        <f t="shared" si="1"/>
        <v>0</v>
      </c>
      <c r="H812" s="153"/>
      <c r="I812" s="154"/>
      <c r="J812" s="147"/>
      <c r="K812" s="154"/>
    </row>
    <row r="813" ht="22.5" customHeight="1">
      <c r="A813" s="147"/>
      <c r="B813" s="148"/>
      <c r="C813" s="149"/>
      <c r="D813" s="150"/>
      <c r="E813" s="151"/>
      <c r="F813" s="152"/>
      <c r="G813" s="152">
        <f t="shared" si="1"/>
        <v>0</v>
      </c>
      <c r="H813" s="153"/>
      <c r="I813" s="154"/>
      <c r="J813" s="147"/>
      <c r="K813" s="154"/>
    </row>
    <row r="814" ht="22.5" customHeight="1">
      <c r="A814" s="147"/>
      <c r="B814" s="148"/>
      <c r="C814" s="149"/>
      <c r="D814" s="150"/>
      <c r="E814" s="151"/>
      <c r="F814" s="152"/>
      <c r="G814" s="152">
        <f t="shared" si="1"/>
        <v>0</v>
      </c>
      <c r="H814" s="153"/>
      <c r="I814" s="154"/>
      <c r="J814" s="147"/>
      <c r="K814" s="154"/>
    </row>
    <row r="815" ht="22.5" customHeight="1">
      <c r="A815" s="147"/>
      <c r="B815" s="148"/>
      <c r="C815" s="149"/>
      <c r="D815" s="150"/>
      <c r="E815" s="151"/>
      <c r="F815" s="152"/>
      <c r="G815" s="152">
        <f t="shared" si="1"/>
        <v>0</v>
      </c>
      <c r="H815" s="153"/>
      <c r="I815" s="154"/>
      <c r="J815" s="147"/>
      <c r="K815" s="154"/>
    </row>
    <row r="816" ht="22.5" customHeight="1">
      <c r="A816" s="147"/>
      <c r="B816" s="148"/>
      <c r="C816" s="149"/>
      <c r="D816" s="150"/>
      <c r="E816" s="151"/>
      <c r="F816" s="152"/>
      <c r="G816" s="152">
        <f t="shared" si="1"/>
        <v>0</v>
      </c>
      <c r="H816" s="153"/>
      <c r="I816" s="154"/>
      <c r="J816" s="147"/>
      <c r="K816" s="154"/>
    </row>
    <row r="817" ht="22.5" customHeight="1">
      <c r="A817" s="147"/>
      <c r="B817" s="148"/>
      <c r="C817" s="149"/>
      <c r="D817" s="150"/>
      <c r="E817" s="151"/>
      <c r="F817" s="152"/>
      <c r="G817" s="152">
        <f t="shared" si="1"/>
        <v>0</v>
      </c>
      <c r="H817" s="153"/>
      <c r="I817" s="154"/>
      <c r="J817" s="147"/>
      <c r="K817" s="154"/>
    </row>
    <row r="818" ht="22.5" customHeight="1">
      <c r="A818" s="147"/>
      <c r="B818" s="148"/>
      <c r="C818" s="149"/>
      <c r="D818" s="150"/>
      <c r="E818" s="151"/>
      <c r="F818" s="152"/>
      <c r="G818" s="152">
        <f t="shared" si="1"/>
        <v>0</v>
      </c>
      <c r="H818" s="153"/>
      <c r="I818" s="154"/>
      <c r="J818" s="147"/>
      <c r="K818" s="154"/>
    </row>
    <row r="819" ht="22.5" customHeight="1">
      <c r="A819" s="147"/>
      <c r="B819" s="148"/>
      <c r="C819" s="149"/>
      <c r="D819" s="150"/>
      <c r="E819" s="151"/>
      <c r="F819" s="152"/>
      <c r="G819" s="152">
        <f t="shared" si="1"/>
        <v>0</v>
      </c>
      <c r="H819" s="153"/>
      <c r="I819" s="154"/>
      <c r="J819" s="147"/>
      <c r="K819" s="154"/>
    </row>
    <row r="820" ht="22.5" customHeight="1">
      <c r="A820" s="147"/>
      <c r="B820" s="148"/>
      <c r="C820" s="149"/>
      <c r="D820" s="150"/>
      <c r="E820" s="151"/>
      <c r="F820" s="152"/>
      <c r="G820" s="152">
        <f t="shared" si="1"/>
        <v>0</v>
      </c>
      <c r="H820" s="153"/>
      <c r="I820" s="154"/>
      <c r="J820" s="147"/>
      <c r="K820" s="154"/>
    </row>
    <row r="821" ht="22.5" customHeight="1">
      <c r="A821" s="147"/>
      <c r="B821" s="148"/>
      <c r="C821" s="149"/>
      <c r="D821" s="150"/>
      <c r="E821" s="151"/>
      <c r="F821" s="152"/>
      <c r="G821" s="152">
        <f t="shared" si="1"/>
        <v>0</v>
      </c>
      <c r="H821" s="153"/>
      <c r="I821" s="154"/>
      <c r="J821" s="147"/>
      <c r="K821" s="154"/>
    </row>
    <row r="822" ht="22.5" customHeight="1">
      <c r="A822" s="147"/>
      <c r="B822" s="148"/>
      <c r="C822" s="149"/>
      <c r="D822" s="150"/>
      <c r="E822" s="151"/>
      <c r="F822" s="152"/>
      <c r="G822" s="152">
        <f t="shared" si="1"/>
        <v>0</v>
      </c>
      <c r="H822" s="153"/>
      <c r="I822" s="154"/>
      <c r="J822" s="147"/>
      <c r="K822" s="154"/>
    </row>
    <row r="823" ht="22.5" customHeight="1">
      <c r="A823" s="147"/>
      <c r="B823" s="148"/>
      <c r="C823" s="149"/>
      <c r="D823" s="150"/>
      <c r="E823" s="151"/>
      <c r="F823" s="152"/>
      <c r="G823" s="152">
        <f t="shared" si="1"/>
        <v>0</v>
      </c>
      <c r="H823" s="153"/>
      <c r="I823" s="154"/>
      <c r="J823" s="147"/>
      <c r="K823" s="154"/>
    </row>
    <row r="824" ht="22.5" customHeight="1">
      <c r="A824" s="147"/>
      <c r="B824" s="148"/>
      <c r="C824" s="149"/>
      <c r="D824" s="150"/>
      <c r="E824" s="151"/>
      <c r="F824" s="152"/>
      <c r="G824" s="152">
        <f t="shared" si="1"/>
        <v>0</v>
      </c>
      <c r="H824" s="153"/>
      <c r="I824" s="154"/>
      <c r="J824" s="147"/>
      <c r="K824" s="154"/>
    </row>
    <row r="825" ht="22.5" customHeight="1">
      <c r="A825" s="147"/>
      <c r="B825" s="148"/>
      <c r="C825" s="149"/>
      <c r="D825" s="150"/>
      <c r="E825" s="151"/>
      <c r="F825" s="152"/>
      <c r="G825" s="152">
        <f t="shared" si="1"/>
        <v>0</v>
      </c>
      <c r="H825" s="153"/>
      <c r="I825" s="154"/>
      <c r="J825" s="147"/>
      <c r="K825" s="154"/>
    </row>
    <row r="826" ht="22.5" customHeight="1">
      <c r="A826" s="147"/>
      <c r="B826" s="148"/>
      <c r="C826" s="149"/>
      <c r="D826" s="150"/>
      <c r="E826" s="151"/>
      <c r="F826" s="152"/>
      <c r="G826" s="152">
        <f t="shared" si="1"/>
        <v>0</v>
      </c>
      <c r="H826" s="153"/>
      <c r="I826" s="154"/>
      <c r="J826" s="147"/>
      <c r="K826" s="154"/>
    </row>
    <row r="827" ht="22.5" customHeight="1">
      <c r="A827" s="147"/>
      <c r="B827" s="148"/>
      <c r="C827" s="149"/>
      <c r="D827" s="150"/>
      <c r="E827" s="151"/>
      <c r="F827" s="152"/>
      <c r="G827" s="152">
        <f t="shared" si="1"/>
        <v>0</v>
      </c>
      <c r="H827" s="153"/>
      <c r="I827" s="154"/>
      <c r="J827" s="147"/>
      <c r="K827" s="154"/>
    </row>
    <row r="828" ht="22.5" customHeight="1">
      <c r="A828" s="147"/>
      <c r="B828" s="148"/>
      <c r="C828" s="149"/>
      <c r="D828" s="150"/>
      <c r="E828" s="151"/>
      <c r="F828" s="152"/>
      <c r="G828" s="152">
        <f t="shared" si="1"/>
        <v>0</v>
      </c>
      <c r="H828" s="153"/>
      <c r="I828" s="154"/>
      <c r="J828" s="147"/>
      <c r="K828" s="154"/>
    </row>
    <row r="829" ht="22.5" customHeight="1">
      <c r="A829" s="147"/>
      <c r="B829" s="148"/>
      <c r="C829" s="149"/>
      <c r="D829" s="150"/>
      <c r="E829" s="151"/>
      <c r="F829" s="152"/>
      <c r="G829" s="152">
        <f t="shared" si="1"/>
        <v>0</v>
      </c>
      <c r="H829" s="153"/>
      <c r="I829" s="154"/>
      <c r="J829" s="147"/>
      <c r="K829" s="154"/>
    </row>
    <row r="830" ht="22.5" customHeight="1">
      <c r="A830" s="147"/>
      <c r="B830" s="148"/>
      <c r="C830" s="149"/>
      <c r="D830" s="150"/>
      <c r="E830" s="151"/>
      <c r="F830" s="152"/>
      <c r="G830" s="152">
        <f t="shared" si="1"/>
        <v>0</v>
      </c>
      <c r="H830" s="153"/>
      <c r="I830" s="154"/>
      <c r="J830" s="147"/>
      <c r="K830" s="154"/>
    </row>
    <row r="831" ht="22.5" customHeight="1">
      <c r="A831" s="147"/>
      <c r="B831" s="148"/>
      <c r="C831" s="149"/>
      <c r="D831" s="150"/>
      <c r="E831" s="151"/>
      <c r="F831" s="152"/>
      <c r="G831" s="152">
        <f t="shared" si="1"/>
        <v>0</v>
      </c>
      <c r="H831" s="153"/>
      <c r="I831" s="154"/>
      <c r="J831" s="147"/>
      <c r="K831" s="154"/>
    </row>
    <row r="832" ht="22.5" customHeight="1">
      <c r="A832" s="147"/>
      <c r="B832" s="148"/>
      <c r="C832" s="149"/>
      <c r="D832" s="150"/>
      <c r="E832" s="151"/>
      <c r="F832" s="152"/>
      <c r="G832" s="152">
        <f t="shared" si="1"/>
        <v>0</v>
      </c>
      <c r="H832" s="153"/>
      <c r="I832" s="154"/>
      <c r="J832" s="147"/>
      <c r="K832" s="154"/>
    </row>
    <row r="833" ht="22.5" customHeight="1">
      <c r="A833" s="147"/>
      <c r="B833" s="148"/>
      <c r="C833" s="149"/>
      <c r="D833" s="150"/>
      <c r="E833" s="151"/>
      <c r="F833" s="152"/>
      <c r="G833" s="152">
        <f t="shared" si="1"/>
        <v>0</v>
      </c>
      <c r="H833" s="153"/>
      <c r="I833" s="154"/>
      <c r="J833" s="147"/>
      <c r="K833" s="154"/>
    </row>
    <row r="834" ht="22.5" customHeight="1">
      <c r="A834" s="147"/>
      <c r="B834" s="148"/>
      <c r="C834" s="149"/>
      <c r="D834" s="150"/>
      <c r="E834" s="151"/>
      <c r="F834" s="152"/>
      <c r="G834" s="152">
        <f t="shared" si="1"/>
        <v>0</v>
      </c>
      <c r="H834" s="153"/>
      <c r="I834" s="154"/>
      <c r="J834" s="147"/>
      <c r="K834" s="154"/>
    </row>
    <row r="835" ht="22.5" customHeight="1">
      <c r="A835" s="147"/>
      <c r="B835" s="148"/>
      <c r="C835" s="149"/>
      <c r="D835" s="150"/>
      <c r="E835" s="151"/>
      <c r="F835" s="152"/>
      <c r="G835" s="152">
        <f t="shared" si="1"/>
        <v>0</v>
      </c>
      <c r="H835" s="153"/>
      <c r="I835" s="154"/>
      <c r="J835" s="147"/>
      <c r="K835" s="154"/>
    </row>
    <row r="836" ht="22.5" customHeight="1">
      <c r="A836" s="147"/>
      <c r="B836" s="148"/>
      <c r="C836" s="149"/>
      <c r="D836" s="150"/>
      <c r="E836" s="151"/>
      <c r="F836" s="152"/>
      <c r="G836" s="152">
        <f t="shared" si="1"/>
        <v>0</v>
      </c>
      <c r="H836" s="153"/>
      <c r="I836" s="154"/>
      <c r="J836" s="147"/>
      <c r="K836" s="154"/>
    </row>
    <row r="837" ht="22.5" customHeight="1">
      <c r="A837" s="147"/>
      <c r="B837" s="148"/>
      <c r="C837" s="149"/>
      <c r="D837" s="150"/>
      <c r="E837" s="151"/>
      <c r="F837" s="152"/>
      <c r="G837" s="152">
        <f t="shared" si="1"/>
        <v>0</v>
      </c>
      <c r="H837" s="153"/>
      <c r="I837" s="154"/>
      <c r="J837" s="147"/>
      <c r="K837" s="154"/>
    </row>
    <row r="838" ht="22.5" customHeight="1">
      <c r="A838" s="147"/>
      <c r="B838" s="148"/>
      <c r="C838" s="149"/>
      <c r="D838" s="150"/>
      <c r="E838" s="151"/>
      <c r="F838" s="152"/>
      <c r="G838" s="152">
        <f t="shared" si="1"/>
        <v>0</v>
      </c>
      <c r="H838" s="153"/>
      <c r="I838" s="154"/>
      <c r="J838" s="147"/>
      <c r="K838" s="154"/>
    </row>
    <row r="839" ht="22.5" customHeight="1">
      <c r="A839" s="147"/>
      <c r="B839" s="148"/>
      <c r="C839" s="149"/>
      <c r="D839" s="150"/>
      <c r="E839" s="151"/>
      <c r="F839" s="152"/>
      <c r="G839" s="152">
        <f t="shared" si="1"/>
        <v>0</v>
      </c>
      <c r="H839" s="153"/>
      <c r="I839" s="154"/>
      <c r="J839" s="147"/>
      <c r="K839" s="154"/>
    </row>
    <row r="840" ht="22.5" customHeight="1">
      <c r="A840" s="147"/>
      <c r="B840" s="148"/>
      <c r="C840" s="149"/>
      <c r="D840" s="150"/>
      <c r="E840" s="151"/>
      <c r="F840" s="152"/>
      <c r="G840" s="152">
        <f t="shared" si="1"/>
        <v>0</v>
      </c>
      <c r="H840" s="153"/>
      <c r="I840" s="154"/>
      <c r="J840" s="147"/>
      <c r="K840" s="154"/>
    </row>
    <row r="841" ht="22.5" customHeight="1">
      <c r="A841" s="147"/>
      <c r="B841" s="148"/>
      <c r="C841" s="149"/>
      <c r="D841" s="150"/>
      <c r="E841" s="151"/>
      <c r="F841" s="152"/>
      <c r="G841" s="152">
        <f t="shared" si="1"/>
        <v>0</v>
      </c>
      <c r="H841" s="153"/>
      <c r="I841" s="154"/>
      <c r="J841" s="147"/>
      <c r="K841" s="154"/>
    </row>
    <row r="842" ht="22.5" customHeight="1">
      <c r="A842" s="147"/>
      <c r="B842" s="148"/>
      <c r="C842" s="149"/>
      <c r="D842" s="150"/>
      <c r="E842" s="151"/>
      <c r="F842" s="152"/>
      <c r="G842" s="152">
        <f t="shared" si="1"/>
        <v>0</v>
      </c>
      <c r="H842" s="153"/>
      <c r="I842" s="154"/>
      <c r="J842" s="147"/>
      <c r="K842" s="154"/>
    </row>
    <row r="843" ht="22.5" customHeight="1">
      <c r="A843" s="147"/>
      <c r="B843" s="148"/>
      <c r="C843" s="149"/>
      <c r="D843" s="150"/>
      <c r="E843" s="151"/>
      <c r="F843" s="152"/>
      <c r="G843" s="152">
        <f t="shared" si="1"/>
        <v>0</v>
      </c>
      <c r="H843" s="153"/>
      <c r="I843" s="154"/>
      <c r="J843" s="147"/>
      <c r="K843" s="154"/>
    </row>
    <row r="844" ht="22.5" customHeight="1">
      <c r="A844" s="147"/>
      <c r="B844" s="148"/>
      <c r="C844" s="149"/>
      <c r="D844" s="150"/>
      <c r="E844" s="151"/>
      <c r="F844" s="152"/>
      <c r="G844" s="152">
        <f t="shared" si="1"/>
        <v>0</v>
      </c>
      <c r="H844" s="153"/>
      <c r="I844" s="154"/>
      <c r="J844" s="147"/>
      <c r="K844" s="154"/>
    </row>
    <row r="845" ht="22.5" customHeight="1">
      <c r="A845" s="147"/>
      <c r="B845" s="148"/>
      <c r="C845" s="149"/>
      <c r="D845" s="150"/>
      <c r="E845" s="151"/>
      <c r="F845" s="152"/>
      <c r="G845" s="152">
        <f t="shared" si="1"/>
        <v>0</v>
      </c>
      <c r="H845" s="153"/>
      <c r="I845" s="154"/>
      <c r="J845" s="147"/>
      <c r="K845" s="154"/>
    </row>
    <row r="846" ht="22.5" customHeight="1">
      <c r="A846" s="147"/>
      <c r="B846" s="148"/>
      <c r="C846" s="149"/>
      <c r="D846" s="150"/>
      <c r="E846" s="151"/>
      <c r="F846" s="152"/>
      <c r="G846" s="152">
        <f t="shared" si="1"/>
        <v>0</v>
      </c>
      <c r="H846" s="153"/>
      <c r="I846" s="154"/>
      <c r="J846" s="147"/>
      <c r="K846" s="154"/>
    </row>
    <row r="847" ht="22.5" customHeight="1">
      <c r="A847" s="147"/>
      <c r="B847" s="148"/>
      <c r="C847" s="149"/>
      <c r="D847" s="150"/>
      <c r="E847" s="151"/>
      <c r="F847" s="152"/>
      <c r="G847" s="152">
        <f t="shared" si="1"/>
        <v>0</v>
      </c>
      <c r="H847" s="153"/>
      <c r="I847" s="154"/>
      <c r="J847" s="147"/>
      <c r="K847" s="154"/>
    </row>
    <row r="848" ht="22.5" customHeight="1">
      <c r="A848" s="147"/>
      <c r="B848" s="148"/>
      <c r="C848" s="149"/>
      <c r="D848" s="150"/>
      <c r="E848" s="151"/>
      <c r="F848" s="152"/>
      <c r="G848" s="152">
        <f t="shared" si="1"/>
        <v>0</v>
      </c>
      <c r="H848" s="153"/>
      <c r="I848" s="154"/>
      <c r="J848" s="147"/>
      <c r="K848" s="154"/>
    </row>
    <row r="849" ht="22.5" customHeight="1">
      <c r="A849" s="147"/>
      <c r="B849" s="148"/>
      <c r="C849" s="149"/>
      <c r="D849" s="150"/>
      <c r="E849" s="151"/>
      <c r="F849" s="152"/>
      <c r="G849" s="152">
        <f t="shared" si="1"/>
        <v>0</v>
      </c>
      <c r="H849" s="153"/>
      <c r="I849" s="154"/>
      <c r="J849" s="147"/>
      <c r="K849" s="154"/>
    </row>
    <row r="850" ht="22.5" customHeight="1">
      <c r="A850" s="147"/>
      <c r="B850" s="148"/>
      <c r="C850" s="149"/>
      <c r="D850" s="150"/>
      <c r="E850" s="151"/>
      <c r="F850" s="152"/>
      <c r="G850" s="152">
        <f t="shared" si="1"/>
        <v>0</v>
      </c>
      <c r="H850" s="153"/>
      <c r="I850" s="154"/>
      <c r="J850" s="147"/>
      <c r="K850" s="154"/>
    </row>
    <row r="851" ht="22.5" customHeight="1">
      <c r="A851" s="147"/>
      <c r="B851" s="148"/>
      <c r="C851" s="149"/>
      <c r="D851" s="150"/>
      <c r="E851" s="151"/>
      <c r="F851" s="152"/>
      <c r="G851" s="152">
        <f t="shared" si="1"/>
        <v>0</v>
      </c>
      <c r="H851" s="153"/>
      <c r="I851" s="154"/>
      <c r="J851" s="147"/>
      <c r="K851" s="154"/>
    </row>
    <row r="852" ht="22.5" customHeight="1">
      <c r="A852" s="147"/>
      <c r="B852" s="148"/>
      <c r="C852" s="149"/>
      <c r="D852" s="150"/>
      <c r="E852" s="151"/>
      <c r="F852" s="152"/>
      <c r="G852" s="152">
        <f t="shared" si="1"/>
        <v>0</v>
      </c>
      <c r="H852" s="153"/>
      <c r="I852" s="154"/>
      <c r="J852" s="147"/>
      <c r="K852" s="154"/>
    </row>
    <row r="853" ht="22.5" customHeight="1">
      <c r="A853" s="147"/>
      <c r="B853" s="148"/>
      <c r="C853" s="149"/>
      <c r="D853" s="150"/>
      <c r="E853" s="151"/>
      <c r="F853" s="152"/>
      <c r="G853" s="152">
        <f t="shared" si="1"/>
        <v>0</v>
      </c>
      <c r="H853" s="153"/>
      <c r="I853" s="154"/>
      <c r="J853" s="147"/>
      <c r="K853" s="154"/>
    </row>
    <row r="854" ht="22.5" customHeight="1">
      <c r="A854" s="147"/>
      <c r="B854" s="148"/>
      <c r="C854" s="149"/>
      <c r="D854" s="150"/>
      <c r="E854" s="151"/>
      <c r="F854" s="152"/>
      <c r="G854" s="152">
        <f t="shared" si="1"/>
        <v>0</v>
      </c>
      <c r="H854" s="153"/>
      <c r="I854" s="154"/>
      <c r="J854" s="147"/>
      <c r="K854" s="154"/>
    </row>
    <row r="855" ht="22.5" customHeight="1">
      <c r="A855" s="147"/>
      <c r="B855" s="148"/>
      <c r="C855" s="149"/>
      <c r="D855" s="150"/>
      <c r="E855" s="151"/>
      <c r="F855" s="152"/>
      <c r="G855" s="152">
        <f t="shared" si="1"/>
        <v>0</v>
      </c>
      <c r="H855" s="153"/>
      <c r="I855" s="154"/>
      <c r="J855" s="147"/>
      <c r="K855" s="154"/>
    </row>
    <row r="856" ht="22.5" customHeight="1">
      <c r="A856" s="147"/>
      <c r="B856" s="148"/>
      <c r="C856" s="149"/>
      <c r="D856" s="150"/>
      <c r="E856" s="151"/>
      <c r="F856" s="152"/>
      <c r="G856" s="152">
        <f t="shared" si="1"/>
        <v>0</v>
      </c>
      <c r="H856" s="153"/>
      <c r="I856" s="154"/>
      <c r="J856" s="147"/>
      <c r="K856" s="154"/>
    </row>
    <row r="857" ht="22.5" customHeight="1">
      <c r="A857" s="147"/>
      <c r="B857" s="148"/>
      <c r="C857" s="149"/>
      <c r="D857" s="150"/>
      <c r="E857" s="151"/>
      <c r="F857" s="152"/>
      <c r="G857" s="152">
        <f t="shared" si="1"/>
        <v>0</v>
      </c>
      <c r="H857" s="153"/>
      <c r="I857" s="154"/>
      <c r="J857" s="147"/>
      <c r="K857" s="154"/>
    </row>
    <row r="858" ht="22.5" customHeight="1">
      <c r="A858" s="147"/>
      <c r="B858" s="148"/>
      <c r="C858" s="149"/>
      <c r="D858" s="150"/>
      <c r="E858" s="151"/>
      <c r="F858" s="152"/>
      <c r="G858" s="152">
        <f t="shared" si="1"/>
        <v>0</v>
      </c>
      <c r="H858" s="153"/>
      <c r="I858" s="154"/>
      <c r="J858" s="147"/>
      <c r="K858" s="154"/>
    </row>
    <row r="859" ht="22.5" customHeight="1">
      <c r="A859" s="147"/>
      <c r="B859" s="148"/>
      <c r="C859" s="149"/>
      <c r="D859" s="150"/>
      <c r="E859" s="151"/>
      <c r="F859" s="152"/>
      <c r="G859" s="152">
        <f t="shared" si="1"/>
        <v>0</v>
      </c>
      <c r="H859" s="153"/>
      <c r="I859" s="154"/>
      <c r="J859" s="147"/>
      <c r="K859" s="154"/>
    </row>
    <row r="860" ht="22.5" customHeight="1">
      <c r="A860" s="147"/>
      <c r="B860" s="148"/>
      <c r="C860" s="149"/>
      <c r="D860" s="150"/>
      <c r="E860" s="151"/>
      <c r="F860" s="152"/>
      <c r="G860" s="152">
        <f t="shared" si="1"/>
        <v>0</v>
      </c>
      <c r="H860" s="153"/>
      <c r="I860" s="154"/>
      <c r="J860" s="147"/>
      <c r="K860" s="154"/>
    </row>
    <row r="861" ht="22.5" customHeight="1">
      <c r="A861" s="147"/>
      <c r="B861" s="148"/>
      <c r="C861" s="149"/>
      <c r="D861" s="150"/>
      <c r="E861" s="151"/>
      <c r="F861" s="152"/>
      <c r="G861" s="152">
        <f t="shared" si="1"/>
        <v>0</v>
      </c>
      <c r="H861" s="153"/>
      <c r="I861" s="154"/>
      <c r="J861" s="147"/>
      <c r="K861" s="154"/>
    </row>
    <row r="862" ht="22.5" customHeight="1">
      <c r="A862" s="147"/>
      <c r="B862" s="148"/>
      <c r="C862" s="149"/>
      <c r="D862" s="150"/>
      <c r="E862" s="151"/>
      <c r="F862" s="152"/>
      <c r="G862" s="152">
        <f t="shared" si="1"/>
        <v>0</v>
      </c>
      <c r="H862" s="153"/>
      <c r="I862" s="154"/>
      <c r="J862" s="147"/>
      <c r="K862" s="154"/>
    </row>
    <row r="863" ht="22.5" customHeight="1">
      <c r="A863" s="147"/>
      <c r="B863" s="148"/>
      <c r="C863" s="149"/>
      <c r="D863" s="150"/>
      <c r="E863" s="151"/>
      <c r="F863" s="152"/>
      <c r="G863" s="152">
        <f t="shared" si="1"/>
        <v>0</v>
      </c>
      <c r="H863" s="153"/>
      <c r="I863" s="154"/>
      <c r="J863" s="147"/>
      <c r="K863" s="154"/>
    </row>
    <row r="864" ht="22.5" customHeight="1">
      <c r="A864" s="147"/>
      <c r="B864" s="148"/>
      <c r="C864" s="149"/>
      <c r="D864" s="150"/>
      <c r="E864" s="151"/>
      <c r="F864" s="152"/>
      <c r="G864" s="152">
        <f t="shared" si="1"/>
        <v>0</v>
      </c>
      <c r="H864" s="153"/>
      <c r="I864" s="154"/>
      <c r="J864" s="147"/>
      <c r="K864" s="154"/>
    </row>
    <row r="865" ht="22.5" customHeight="1">
      <c r="A865" s="147"/>
      <c r="B865" s="148"/>
      <c r="C865" s="149"/>
      <c r="D865" s="150"/>
      <c r="E865" s="151"/>
      <c r="F865" s="152"/>
      <c r="G865" s="152">
        <f t="shared" si="1"/>
        <v>0</v>
      </c>
      <c r="H865" s="153"/>
      <c r="I865" s="154"/>
      <c r="J865" s="147"/>
      <c r="K865" s="154"/>
    </row>
    <row r="866" ht="22.5" customHeight="1">
      <c r="A866" s="147"/>
      <c r="B866" s="148"/>
      <c r="C866" s="149"/>
      <c r="D866" s="150"/>
      <c r="E866" s="151"/>
      <c r="F866" s="152"/>
      <c r="G866" s="152">
        <f t="shared" si="1"/>
        <v>0</v>
      </c>
      <c r="H866" s="153"/>
      <c r="I866" s="154"/>
      <c r="J866" s="147"/>
      <c r="K866" s="154"/>
    </row>
    <row r="867" ht="22.5" customHeight="1">
      <c r="A867" s="147"/>
      <c r="B867" s="148"/>
      <c r="C867" s="149"/>
      <c r="D867" s="150"/>
      <c r="E867" s="151"/>
      <c r="F867" s="152"/>
      <c r="G867" s="152">
        <f t="shared" si="1"/>
        <v>0</v>
      </c>
      <c r="H867" s="153"/>
      <c r="I867" s="154"/>
      <c r="J867" s="147"/>
      <c r="K867" s="154"/>
    </row>
    <row r="868" ht="22.5" customHeight="1">
      <c r="A868" s="147"/>
      <c r="B868" s="148"/>
      <c r="C868" s="149"/>
      <c r="D868" s="150"/>
      <c r="E868" s="151"/>
      <c r="F868" s="152"/>
      <c r="G868" s="152">
        <f t="shared" si="1"/>
        <v>0</v>
      </c>
      <c r="H868" s="153"/>
      <c r="I868" s="154"/>
      <c r="J868" s="147"/>
      <c r="K868" s="154"/>
    </row>
    <row r="869" ht="22.5" customHeight="1">
      <c r="A869" s="147"/>
      <c r="B869" s="148"/>
      <c r="C869" s="149"/>
      <c r="D869" s="150"/>
      <c r="E869" s="151"/>
      <c r="F869" s="152"/>
      <c r="G869" s="152">
        <f t="shared" si="1"/>
        <v>0</v>
      </c>
      <c r="H869" s="153"/>
      <c r="I869" s="154"/>
      <c r="J869" s="147"/>
      <c r="K869" s="154"/>
    </row>
    <row r="870" ht="22.5" customHeight="1">
      <c r="A870" s="147"/>
      <c r="B870" s="148"/>
      <c r="C870" s="149"/>
      <c r="D870" s="150"/>
      <c r="E870" s="151"/>
      <c r="F870" s="152"/>
      <c r="G870" s="152">
        <f t="shared" si="1"/>
        <v>0</v>
      </c>
      <c r="H870" s="153"/>
      <c r="I870" s="154"/>
      <c r="J870" s="147"/>
      <c r="K870" s="154"/>
    </row>
    <row r="871" ht="22.5" customHeight="1">
      <c r="A871" s="147"/>
      <c r="B871" s="148"/>
      <c r="C871" s="149"/>
      <c r="D871" s="150"/>
      <c r="E871" s="151"/>
      <c r="F871" s="152"/>
      <c r="G871" s="152">
        <f t="shared" si="1"/>
        <v>0</v>
      </c>
      <c r="H871" s="153"/>
      <c r="I871" s="154"/>
      <c r="J871" s="147"/>
      <c r="K871" s="154"/>
    </row>
    <row r="872" ht="22.5" customHeight="1">
      <c r="A872" s="147"/>
      <c r="B872" s="148"/>
      <c r="C872" s="149"/>
      <c r="D872" s="150"/>
      <c r="E872" s="151"/>
      <c r="F872" s="152"/>
      <c r="G872" s="152">
        <f t="shared" si="1"/>
        <v>0</v>
      </c>
      <c r="H872" s="153"/>
      <c r="I872" s="154"/>
      <c r="J872" s="147"/>
      <c r="K872" s="154"/>
    </row>
    <row r="873" ht="22.5" customHeight="1">
      <c r="A873" s="147"/>
      <c r="B873" s="148"/>
      <c r="C873" s="149"/>
      <c r="D873" s="150"/>
      <c r="E873" s="151"/>
      <c r="F873" s="152"/>
      <c r="G873" s="152">
        <f t="shared" si="1"/>
        <v>0</v>
      </c>
      <c r="H873" s="153"/>
      <c r="I873" s="154"/>
      <c r="J873" s="147"/>
      <c r="K873" s="154"/>
    </row>
    <row r="874" ht="22.5" customHeight="1">
      <c r="A874" s="147"/>
      <c r="B874" s="148"/>
      <c r="C874" s="149"/>
      <c r="D874" s="150"/>
      <c r="E874" s="151"/>
      <c r="F874" s="152"/>
      <c r="G874" s="152">
        <f t="shared" si="1"/>
        <v>0</v>
      </c>
      <c r="H874" s="153"/>
      <c r="I874" s="154"/>
      <c r="J874" s="147"/>
      <c r="K874" s="154"/>
    </row>
    <row r="875" ht="22.5" customHeight="1">
      <c r="A875" s="147"/>
      <c r="B875" s="148"/>
      <c r="C875" s="149"/>
      <c r="D875" s="150"/>
      <c r="E875" s="151"/>
      <c r="F875" s="152"/>
      <c r="G875" s="152">
        <f t="shared" si="1"/>
        <v>0</v>
      </c>
      <c r="H875" s="153"/>
      <c r="I875" s="154"/>
      <c r="J875" s="147"/>
      <c r="K875" s="154"/>
    </row>
    <row r="876" ht="22.5" customHeight="1">
      <c r="A876" s="147"/>
      <c r="B876" s="148"/>
      <c r="C876" s="149"/>
      <c r="D876" s="150"/>
      <c r="E876" s="151"/>
      <c r="F876" s="152"/>
      <c r="G876" s="152">
        <f t="shared" si="1"/>
        <v>0</v>
      </c>
      <c r="H876" s="153"/>
      <c r="I876" s="154"/>
      <c r="J876" s="147"/>
      <c r="K876" s="154"/>
    </row>
    <row r="877" ht="22.5" customHeight="1">
      <c r="A877" s="147"/>
      <c r="B877" s="148"/>
      <c r="C877" s="149"/>
      <c r="D877" s="150"/>
      <c r="E877" s="151"/>
      <c r="F877" s="152"/>
      <c r="G877" s="152">
        <f t="shared" si="1"/>
        <v>0</v>
      </c>
      <c r="H877" s="153"/>
      <c r="I877" s="154"/>
      <c r="J877" s="147"/>
      <c r="K877" s="154"/>
    </row>
    <row r="878" ht="22.5" customHeight="1">
      <c r="A878" s="147"/>
      <c r="B878" s="148"/>
      <c r="C878" s="149"/>
      <c r="D878" s="150"/>
      <c r="E878" s="151"/>
      <c r="F878" s="152"/>
      <c r="G878" s="152">
        <f t="shared" si="1"/>
        <v>0</v>
      </c>
      <c r="H878" s="153"/>
      <c r="I878" s="154"/>
      <c r="J878" s="147"/>
      <c r="K878" s="154"/>
    </row>
    <row r="879" ht="22.5" customHeight="1">
      <c r="A879" s="147"/>
      <c r="B879" s="148"/>
      <c r="C879" s="149"/>
      <c r="D879" s="150"/>
      <c r="E879" s="151"/>
      <c r="F879" s="152"/>
      <c r="G879" s="152">
        <f t="shared" si="1"/>
        <v>0</v>
      </c>
      <c r="H879" s="153"/>
      <c r="I879" s="154"/>
      <c r="J879" s="147"/>
      <c r="K879" s="154"/>
    </row>
    <row r="880" ht="22.5" customHeight="1">
      <c r="A880" s="147"/>
      <c r="B880" s="148"/>
      <c r="C880" s="149"/>
      <c r="D880" s="150"/>
      <c r="E880" s="151"/>
      <c r="F880" s="152"/>
      <c r="G880" s="152">
        <f t="shared" si="1"/>
        <v>0</v>
      </c>
      <c r="H880" s="153"/>
      <c r="I880" s="154"/>
      <c r="J880" s="147"/>
      <c r="K880" s="154"/>
    </row>
    <row r="881" ht="22.5" customHeight="1">
      <c r="A881" s="147"/>
      <c r="B881" s="148"/>
      <c r="C881" s="149"/>
      <c r="D881" s="150"/>
      <c r="E881" s="151"/>
      <c r="F881" s="152"/>
      <c r="G881" s="152">
        <f t="shared" si="1"/>
        <v>0</v>
      </c>
      <c r="H881" s="153"/>
      <c r="I881" s="154"/>
      <c r="J881" s="147"/>
      <c r="K881" s="154"/>
    </row>
    <row r="882" ht="22.5" customHeight="1">
      <c r="A882" s="147"/>
      <c r="B882" s="148"/>
      <c r="C882" s="149"/>
      <c r="D882" s="150"/>
      <c r="E882" s="151"/>
      <c r="F882" s="152"/>
      <c r="G882" s="152">
        <f t="shared" si="1"/>
        <v>0</v>
      </c>
      <c r="H882" s="153"/>
      <c r="I882" s="154"/>
      <c r="J882" s="147"/>
      <c r="K882" s="154"/>
    </row>
    <row r="883" ht="22.5" customHeight="1">
      <c r="A883" s="147"/>
      <c r="B883" s="148"/>
      <c r="C883" s="149"/>
      <c r="D883" s="150"/>
      <c r="E883" s="151"/>
      <c r="F883" s="152"/>
      <c r="G883" s="152">
        <f t="shared" si="1"/>
        <v>0</v>
      </c>
      <c r="H883" s="153"/>
      <c r="I883" s="154"/>
      <c r="J883" s="147"/>
      <c r="K883" s="154"/>
    </row>
    <row r="884" ht="22.5" customHeight="1">
      <c r="A884" s="147"/>
      <c r="B884" s="148"/>
      <c r="C884" s="149"/>
      <c r="D884" s="150"/>
      <c r="E884" s="151"/>
      <c r="F884" s="152"/>
      <c r="G884" s="152">
        <f t="shared" si="1"/>
        <v>0</v>
      </c>
      <c r="H884" s="153"/>
      <c r="I884" s="154"/>
      <c r="J884" s="147"/>
      <c r="K884" s="154"/>
    </row>
    <row r="885" ht="22.5" customHeight="1">
      <c r="A885" s="147"/>
      <c r="B885" s="148"/>
      <c r="C885" s="149"/>
      <c r="D885" s="150"/>
      <c r="E885" s="151"/>
      <c r="F885" s="152"/>
      <c r="G885" s="152">
        <f t="shared" si="1"/>
        <v>0</v>
      </c>
      <c r="H885" s="153"/>
      <c r="I885" s="154"/>
      <c r="J885" s="147"/>
      <c r="K885" s="154"/>
    </row>
    <row r="886" ht="22.5" customHeight="1">
      <c r="A886" s="147"/>
      <c r="B886" s="148"/>
      <c r="C886" s="149"/>
      <c r="D886" s="150"/>
      <c r="E886" s="151"/>
      <c r="F886" s="152"/>
      <c r="G886" s="152">
        <f t="shared" si="1"/>
        <v>0</v>
      </c>
      <c r="H886" s="153"/>
      <c r="I886" s="154"/>
      <c r="J886" s="147"/>
      <c r="K886" s="154"/>
    </row>
    <row r="887" ht="22.5" customHeight="1">
      <c r="A887" s="147"/>
      <c r="B887" s="148"/>
      <c r="C887" s="149"/>
      <c r="D887" s="150"/>
      <c r="E887" s="151"/>
      <c r="F887" s="152"/>
      <c r="G887" s="152">
        <f t="shared" si="1"/>
        <v>0</v>
      </c>
      <c r="H887" s="153"/>
      <c r="I887" s="154"/>
      <c r="J887" s="147"/>
      <c r="K887" s="154"/>
    </row>
    <row r="888" ht="22.5" customHeight="1">
      <c r="A888" s="147"/>
      <c r="B888" s="148"/>
      <c r="C888" s="149"/>
      <c r="D888" s="150"/>
      <c r="E888" s="151"/>
      <c r="F888" s="152"/>
      <c r="G888" s="152">
        <f t="shared" si="1"/>
        <v>0</v>
      </c>
      <c r="H888" s="153"/>
      <c r="I888" s="154"/>
      <c r="J888" s="147"/>
      <c r="K888" s="154"/>
    </row>
    <row r="889" ht="22.5" customHeight="1">
      <c r="A889" s="147"/>
      <c r="B889" s="148"/>
      <c r="C889" s="149"/>
      <c r="D889" s="150"/>
      <c r="E889" s="151"/>
      <c r="F889" s="152"/>
      <c r="G889" s="152">
        <f t="shared" si="1"/>
        <v>0</v>
      </c>
      <c r="H889" s="153"/>
      <c r="I889" s="154"/>
      <c r="J889" s="147"/>
      <c r="K889" s="154"/>
    </row>
    <row r="890" ht="22.5" customHeight="1">
      <c r="A890" s="147"/>
      <c r="B890" s="148"/>
      <c r="C890" s="149"/>
      <c r="D890" s="150"/>
      <c r="E890" s="151"/>
      <c r="F890" s="152"/>
      <c r="G890" s="152">
        <f t="shared" si="1"/>
        <v>0</v>
      </c>
      <c r="H890" s="153"/>
      <c r="I890" s="154"/>
      <c r="J890" s="147"/>
      <c r="K890" s="154"/>
    </row>
    <row r="891" ht="22.5" customHeight="1">
      <c r="A891" s="147"/>
      <c r="B891" s="148"/>
      <c r="C891" s="149"/>
      <c r="D891" s="150"/>
      <c r="E891" s="151"/>
      <c r="F891" s="152"/>
      <c r="G891" s="152">
        <f t="shared" si="1"/>
        <v>0</v>
      </c>
      <c r="H891" s="153"/>
      <c r="I891" s="154"/>
      <c r="J891" s="147"/>
      <c r="K891" s="154"/>
    </row>
    <row r="892" ht="22.5" customHeight="1">
      <c r="A892" s="147"/>
      <c r="B892" s="148"/>
      <c r="C892" s="149"/>
      <c r="D892" s="150"/>
      <c r="E892" s="151"/>
      <c r="F892" s="152"/>
      <c r="G892" s="152">
        <f t="shared" si="1"/>
        <v>0</v>
      </c>
      <c r="H892" s="153"/>
      <c r="I892" s="154"/>
      <c r="J892" s="147"/>
      <c r="K892" s="154"/>
    </row>
    <row r="893" ht="22.5" customHeight="1">
      <c r="A893" s="147"/>
      <c r="B893" s="148"/>
      <c r="C893" s="149"/>
      <c r="D893" s="150"/>
      <c r="E893" s="151"/>
      <c r="F893" s="152"/>
      <c r="G893" s="152">
        <f t="shared" si="1"/>
        <v>0</v>
      </c>
      <c r="H893" s="153"/>
      <c r="I893" s="154"/>
      <c r="J893" s="147"/>
      <c r="K893" s="154"/>
    </row>
    <row r="894" ht="22.5" customHeight="1">
      <c r="A894" s="147"/>
      <c r="B894" s="148"/>
      <c r="C894" s="149"/>
      <c r="D894" s="150"/>
      <c r="E894" s="151"/>
      <c r="F894" s="152"/>
      <c r="G894" s="152">
        <f t="shared" si="1"/>
        <v>0</v>
      </c>
      <c r="H894" s="153"/>
      <c r="I894" s="154"/>
      <c r="J894" s="147"/>
      <c r="K894" s="154"/>
    </row>
    <row r="895" ht="22.5" customHeight="1">
      <c r="A895" s="147"/>
      <c r="B895" s="148"/>
      <c r="C895" s="149"/>
      <c r="D895" s="150"/>
      <c r="E895" s="151"/>
      <c r="F895" s="152"/>
      <c r="G895" s="152">
        <f t="shared" si="1"/>
        <v>0</v>
      </c>
      <c r="H895" s="153"/>
      <c r="I895" s="154"/>
      <c r="J895" s="147"/>
      <c r="K895" s="154"/>
    </row>
    <row r="896" ht="22.5" customHeight="1">
      <c r="A896" s="147"/>
      <c r="B896" s="148"/>
      <c r="C896" s="149"/>
      <c r="D896" s="150"/>
      <c r="E896" s="151"/>
      <c r="F896" s="152"/>
      <c r="G896" s="152">
        <f t="shared" si="1"/>
        <v>0</v>
      </c>
      <c r="H896" s="153"/>
      <c r="I896" s="154"/>
      <c r="J896" s="147"/>
      <c r="K896" s="154"/>
    </row>
    <row r="897" ht="22.5" customHeight="1">
      <c r="A897" s="147"/>
      <c r="B897" s="148"/>
      <c r="C897" s="149"/>
      <c r="D897" s="150"/>
      <c r="E897" s="151"/>
      <c r="F897" s="152"/>
      <c r="G897" s="152">
        <f t="shared" si="1"/>
        <v>0</v>
      </c>
      <c r="H897" s="153"/>
      <c r="I897" s="154"/>
      <c r="J897" s="147"/>
      <c r="K897" s="154"/>
    </row>
    <row r="898" ht="22.5" customHeight="1">
      <c r="A898" s="147"/>
      <c r="B898" s="148"/>
      <c r="C898" s="149"/>
      <c r="D898" s="150"/>
      <c r="E898" s="151"/>
      <c r="F898" s="152"/>
      <c r="G898" s="152">
        <f t="shared" si="1"/>
        <v>0</v>
      </c>
      <c r="H898" s="153"/>
      <c r="I898" s="154"/>
      <c r="J898" s="147"/>
      <c r="K898" s="154"/>
    </row>
    <row r="899" ht="22.5" customHeight="1">
      <c r="A899" s="147"/>
      <c r="B899" s="148"/>
      <c r="C899" s="149"/>
      <c r="D899" s="150"/>
      <c r="E899" s="151"/>
      <c r="F899" s="152"/>
      <c r="G899" s="152">
        <f t="shared" si="1"/>
        <v>0</v>
      </c>
      <c r="H899" s="153"/>
      <c r="I899" s="154"/>
      <c r="J899" s="147"/>
      <c r="K899" s="154"/>
    </row>
    <row r="900" ht="22.5" customHeight="1">
      <c r="A900" s="147"/>
      <c r="B900" s="148"/>
      <c r="C900" s="149"/>
      <c r="D900" s="150"/>
      <c r="E900" s="151"/>
      <c r="F900" s="152"/>
      <c r="G900" s="152">
        <f t="shared" si="1"/>
        <v>0</v>
      </c>
      <c r="H900" s="153"/>
      <c r="I900" s="154"/>
      <c r="J900" s="147"/>
      <c r="K900" s="154"/>
    </row>
    <row r="901" ht="22.5" customHeight="1">
      <c r="A901" s="147"/>
      <c r="B901" s="148"/>
      <c r="C901" s="149"/>
      <c r="D901" s="150"/>
      <c r="E901" s="151"/>
      <c r="F901" s="152"/>
      <c r="G901" s="152">
        <f t="shared" si="1"/>
        <v>0</v>
      </c>
      <c r="H901" s="153"/>
      <c r="I901" s="154"/>
      <c r="J901" s="147"/>
      <c r="K901" s="154"/>
    </row>
    <row r="902" ht="22.5" customHeight="1">
      <c r="A902" s="147"/>
      <c r="B902" s="148"/>
      <c r="C902" s="149"/>
      <c r="D902" s="150"/>
      <c r="E902" s="151"/>
      <c r="F902" s="152"/>
      <c r="G902" s="152">
        <f t="shared" si="1"/>
        <v>0</v>
      </c>
      <c r="H902" s="153"/>
      <c r="I902" s="154"/>
      <c r="J902" s="147"/>
      <c r="K902" s="154"/>
    </row>
    <row r="903" ht="22.5" customHeight="1">
      <c r="A903" s="147"/>
      <c r="B903" s="148"/>
      <c r="C903" s="149"/>
      <c r="D903" s="150"/>
      <c r="E903" s="151"/>
      <c r="F903" s="152"/>
      <c r="G903" s="152">
        <f t="shared" si="1"/>
        <v>0</v>
      </c>
      <c r="H903" s="153"/>
      <c r="I903" s="154"/>
      <c r="J903" s="147"/>
      <c r="K903" s="154"/>
    </row>
    <row r="904" ht="22.5" customHeight="1">
      <c r="A904" s="147"/>
      <c r="B904" s="148"/>
      <c r="C904" s="149"/>
      <c r="D904" s="150"/>
      <c r="E904" s="151"/>
      <c r="F904" s="152"/>
      <c r="G904" s="152">
        <f t="shared" si="1"/>
        <v>0</v>
      </c>
      <c r="H904" s="153"/>
      <c r="I904" s="154"/>
      <c r="J904" s="147"/>
      <c r="K904" s="154"/>
    </row>
    <row r="905" ht="22.5" customHeight="1">
      <c r="A905" s="147"/>
      <c r="B905" s="148"/>
      <c r="C905" s="149"/>
      <c r="D905" s="150"/>
      <c r="E905" s="151"/>
      <c r="F905" s="152"/>
      <c r="G905" s="152">
        <f t="shared" si="1"/>
        <v>0</v>
      </c>
      <c r="H905" s="153"/>
      <c r="I905" s="154"/>
      <c r="J905" s="147"/>
      <c r="K905" s="154"/>
    </row>
    <row r="906" ht="22.5" customHeight="1">
      <c r="A906" s="147"/>
      <c r="B906" s="148"/>
      <c r="C906" s="149"/>
      <c r="D906" s="150"/>
      <c r="E906" s="151"/>
      <c r="F906" s="152"/>
      <c r="G906" s="152">
        <f t="shared" si="1"/>
        <v>0</v>
      </c>
      <c r="H906" s="153"/>
      <c r="I906" s="154"/>
      <c r="J906" s="147"/>
      <c r="K906" s="154"/>
    </row>
    <row r="907" ht="22.5" customHeight="1">
      <c r="A907" s="147"/>
      <c r="B907" s="148"/>
      <c r="C907" s="149"/>
      <c r="D907" s="150"/>
      <c r="E907" s="151"/>
      <c r="F907" s="152"/>
      <c r="G907" s="152">
        <f t="shared" si="1"/>
        <v>0</v>
      </c>
      <c r="H907" s="153"/>
      <c r="I907" s="154"/>
      <c r="J907" s="147"/>
      <c r="K907" s="154"/>
    </row>
    <row r="908" ht="22.5" customHeight="1">
      <c r="A908" s="147"/>
      <c r="B908" s="148"/>
      <c r="C908" s="149"/>
      <c r="D908" s="150"/>
      <c r="E908" s="151"/>
      <c r="F908" s="152"/>
      <c r="G908" s="152">
        <f t="shared" si="1"/>
        <v>0</v>
      </c>
      <c r="H908" s="153"/>
      <c r="I908" s="154"/>
      <c r="J908" s="147"/>
      <c r="K908" s="154"/>
    </row>
    <row r="909" ht="22.5" customHeight="1">
      <c r="A909" s="147"/>
      <c r="B909" s="148"/>
      <c r="C909" s="149"/>
      <c r="D909" s="150"/>
      <c r="E909" s="151"/>
      <c r="F909" s="152"/>
      <c r="G909" s="152">
        <f t="shared" si="1"/>
        <v>0</v>
      </c>
      <c r="H909" s="153"/>
      <c r="I909" s="154"/>
      <c r="J909" s="147"/>
      <c r="K909" s="154"/>
    </row>
    <row r="910" ht="22.5" customHeight="1">
      <c r="A910" s="147"/>
      <c r="B910" s="148"/>
      <c r="C910" s="149"/>
      <c r="D910" s="150"/>
      <c r="E910" s="151"/>
      <c r="F910" s="152"/>
      <c r="G910" s="152">
        <f t="shared" si="1"/>
        <v>0</v>
      </c>
      <c r="H910" s="153"/>
      <c r="I910" s="154"/>
      <c r="J910" s="147"/>
      <c r="K910" s="154"/>
    </row>
    <row r="911" ht="22.5" customHeight="1">
      <c r="A911" s="147"/>
      <c r="B911" s="148"/>
      <c r="C911" s="149"/>
      <c r="D911" s="150"/>
      <c r="E911" s="151"/>
      <c r="F911" s="152"/>
      <c r="G911" s="152">
        <f t="shared" si="1"/>
        <v>0</v>
      </c>
      <c r="H911" s="153"/>
      <c r="I911" s="154"/>
      <c r="J911" s="147"/>
      <c r="K911" s="154"/>
    </row>
    <row r="912" ht="22.5" customHeight="1">
      <c r="A912" s="147"/>
      <c r="B912" s="148"/>
      <c r="C912" s="149"/>
      <c r="D912" s="150"/>
      <c r="E912" s="151"/>
      <c r="F912" s="152"/>
      <c r="G912" s="152">
        <f t="shared" si="1"/>
        <v>0</v>
      </c>
      <c r="H912" s="153"/>
      <c r="I912" s="154"/>
      <c r="J912" s="147"/>
      <c r="K912" s="154"/>
    </row>
    <row r="913" ht="22.5" customHeight="1">
      <c r="A913" s="147"/>
      <c r="B913" s="148"/>
      <c r="C913" s="149"/>
      <c r="D913" s="150"/>
      <c r="E913" s="151"/>
      <c r="F913" s="152"/>
      <c r="G913" s="152">
        <f t="shared" si="1"/>
        <v>0</v>
      </c>
      <c r="H913" s="153"/>
      <c r="I913" s="154"/>
      <c r="J913" s="147"/>
      <c r="K913" s="154"/>
    </row>
    <row r="914" ht="22.5" customHeight="1">
      <c r="A914" s="147"/>
      <c r="B914" s="148"/>
      <c r="C914" s="149"/>
      <c r="D914" s="150"/>
      <c r="E914" s="151"/>
      <c r="F914" s="152"/>
      <c r="G914" s="152">
        <f t="shared" si="1"/>
        <v>0</v>
      </c>
      <c r="H914" s="153"/>
      <c r="I914" s="154"/>
      <c r="J914" s="147"/>
      <c r="K914" s="154"/>
    </row>
    <row r="915" ht="22.5" customHeight="1">
      <c r="A915" s="147"/>
      <c r="B915" s="148"/>
      <c r="C915" s="149"/>
      <c r="D915" s="150"/>
      <c r="E915" s="151"/>
      <c r="F915" s="152"/>
      <c r="G915" s="152">
        <f t="shared" si="1"/>
        <v>0</v>
      </c>
      <c r="H915" s="153"/>
      <c r="I915" s="154"/>
      <c r="J915" s="147"/>
      <c r="K915" s="154"/>
    </row>
    <row r="916" ht="22.5" customHeight="1">
      <c r="A916" s="147"/>
      <c r="B916" s="148"/>
      <c r="C916" s="149"/>
      <c r="D916" s="150"/>
      <c r="E916" s="151"/>
      <c r="F916" s="152"/>
      <c r="G916" s="152">
        <f t="shared" si="1"/>
        <v>0</v>
      </c>
      <c r="H916" s="153"/>
      <c r="I916" s="154"/>
      <c r="J916" s="147"/>
      <c r="K916" s="154"/>
    </row>
    <row r="917" ht="22.5" customHeight="1">
      <c r="A917" s="147"/>
      <c r="B917" s="148"/>
      <c r="C917" s="149"/>
      <c r="D917" s="150"/>
      <c r="E917" s="151"/>
      <c r="F917" s="152"/>
      <c r="G917" s="152">
        <f t="shared" si="1"/>
        <v>0</v>
      </c>
      <c r="H917" s="153"/>
      <c r="I917" s="154"/>
      <c r="J917" s="147"/>
      <c r="K917" s="154"/>
    </row>
    <row r="918" ht="22.5" customHeight="1">
      <c r="A918" s="147"/>
      <c r="B918" s="148"/>
      <c r="C918" s="149"/>
      <c r="D918" s="150"/>
      <c r="E918" s="151"/>
      <c r="F918" s="152"/>
      <c r="G918" s="152">
        <f t="shared" si="1"/>
        <v>0</v>
      </c>
      <c r="H918" s="153"/>
      <c r="I918" s="154"/>
      <c r="J918" s="147"/>
      <c r="K918" s="154"/>
    </row>
    <row r="919" ht="22.5" customHeight="1">
      <c r="A919" s="147"/>
      <c r="B919" s="148"/>
      <c r="C919" s="149"/>
      <c r="D919" s="150"/>
      <c r="E919" s="151"/>
      <c r="F919" s="152"/>
      <c r="G919" s="152">
        <f t="shared" si="1"/>
        <v>0</v>
      </c>
      <c r="H919" s="153"/>
      <c r="I919" s="154"/>
      <c r="J919" s="147"/>
      <c r="K919" s="154"/>
    </row>
    <row r="920" ht="22.5" customHeight="1">
      <c r="A920" s="147"/>
      <c r="B920" s="148"/>
      <c r="C920" s="149"/>
      <c r="D920" s="150"/>
      <c r="E920" s="151"/>
      <c r="F920" s="152"/>
      <c r="G920" s="152">
        <f t="shared" si="1"/>
        <v>0</v>
      </c>
      <c r="H920" s="153"/>
      <c r="I920" s="154"/>
      <c r="J920" s="147"/>
      <c r="K920" s="154"/>
    </row>
    <row r="921" ht="22.5" customHeight="1">
      <c r="A921" s="147"/>
      <c r="B921" s="148"/>
      <c r="C921" s="149"/>
      <c r="D921" s="150"/>
      <c r="E921" s="151"/>
      <c r="F921" s="152"/>
      <c r="G921" s="152">
        <f t="shared" si="1"/>
        <v>0</v>
      </c>
      <c r="H921" s="153"/>
      <c r="I921" s="154"/>
      <c r="J921" s="147"/>
      <c r="K921" s="154"/>
    </row>
    <row r="922" ht="22.5" customHeight="1">
      <c r="A922" s="147"/>
      <c r="B922" s="148"/>
      <c r="C922" s="149"/>
      <c r="D922" s="150"/>
      <c r="E922" s="151"/>
      <c r="F922" s="152"/>
      <c r="G922" s="152">
        <f t="shared" si="1"/>
        <v>0</v>
      </c>
      <c r="H922" s="153"/>
      <c r="I922" s="154"/>
      <c r="J922" s="147"/>
      <c r="K922" s="154"/>
    </row>
    <row r="923" ht="22.5" customHeight="1">
      <c r="A923" s="147"/>
      <c r="B923" s="148"/>
      <c r="C923" s="149"/>
      <c r="D923" s="150"/>
      <c r="E923" s="151"/>
      <c r="F923" s="152"/>
      <c r="G923" s="152">
        <f t="shared" si="1"/>
        <v>0</v>
      </c>
      <c r="H923" s="153"/>
      <c r="I923" s="154"/>
      <c r="J923" s="147"/>
      <c r="K923" s="154"/>
    </row>
    <row r="924" ht="22.5" customHeight="1">
      <c r="A924" s="147"/>
      <c r="B924" s="148"/>
      <c r="C924" s="149"/>
      <c r="D924" s="150"/>
      <c r="E924" s="151"/>
      <c r="F924" s="152"/>
      <c r="G924" s="152">
        <f t="shared" si="1"/>
        <v>0</v>
      </c>
      <c r="H924" s="153"/>
      <c r="I924" s="154"/>
      <c r="J924" s="147"/>
      <c r="K924" s="154"/>
    </row>
    <row r="925" ht="22.5" customHeight="1">
      <c r="A925" s="147"/>
      <c r="B925" s="148"/>
      <c r="C925" s="149"/>
      <c r="D925" s="150"/>
      <c r="E925" s="151"/>
      <c r="F925" s="152"/>
      <c r="G925" s="152">
        <f t="shared" si="1"/>
        <v>0</v>
      </c>
      <c r="H925" s="153"/>
      <c r="I925" s="154"/>
      <c r="J925" s="147"/>
      <c r="K925" s="154"/>
    </row>
    <row r="926" ht="22.5" customHeight="1">
      <c r="A926" s="147"/>
      <c r="B926" s="148"/>
      <c r="C926" s="149"/>
      <c r="D926" s="150"/>
      <c r="E926" s="151"/>
      <c r="F926" s="152"/>
      <c r="G926" s="152">
        <f t="shared" si="1"/>
        <v>0</v>
      </c>
      <c r="H926" s="153"/>
      <c r="I926" s="154"/>
      <c r="J926" s="147"/>
      <c r="K926" s="154"/>
    </row>
    <row r="927" ht="22.5" customHeight="1">
      <c r="A927" s="147"/>
      <c r="B927" s="148"/>
      <c r="C927" s="149"/>
      <c r="D927" s="150"/>
      <c r="E927" s="151"/>
      <c r="F927" s="152"/>
      <c r="G927" s="152">
        <f t="shared" si="1"/>
        <v>0</v>
      </c>
      <c r="H927" s="153"/>
      <c r="I927" s="154"/>
      <c r="J927" s="147"/>
      <c r="K927" s="154"/>
    </row>
    <row r="928" ht="22.5" customHeight="1">
      <c r="A928" s="147"/>
      <c r="B928" s="148"/>
      <c r="C928" s="149"/>
      <c r="D928" s="150"/>
      <c r="E928" s="151"/>
      <c r="F928" s="152"/>
      <c r="G928" s="152">
        <f t="shared" si="1"/>
        <v>0</v>
      </c>
      <c r="H928" s="153"/>
      <c r="I928" s="154"/>
      <c r="J928" s="147"/>
      <c r="K928" s="154"/>
    </row>
    <row r="929" ht="22.5" customHeight="1">
      <c r="A929" s="147"/>
      <c r="B929" s="148"/>
      <c r="C929" s="149"/>
      <c r="D929" s="150"/>
      <c r="E929" s="151"/>
      <c r="F929" s="152"/>
      <c r="G929" s="152">
        <f t="shared" si="1"/>
        <v>0</v>
      </c>
      <c r="H929" s="153"/>
      <c r="I929" s="154"/>
      <c r="J929" s="147"/>
      <c r="K929" s="154"/>
    </row>
    <row r="930" ht="22.5" customHeight="1">
      <c r="A930" s="147"/>
      <c r="B930" s="148"/>
      <c r="C930" s="149"/>
      <c r="D930" s="150"/>
      <c r="E930" s="151"/>
      <c r="F930" s="152"/>
      <c r="G930" s="152">
        <f t="shared" si="1"/>
        <v>0</v>
      </c>
      <c r="H930" s="153"/>
      <c r="I930" s="154"/>
      <c r="J930" s="147"/>
      <c r="K930" s="154"/>
    </row>
    <row r="931" ht="22.5" customHeight="1">
      <c r="A931" s="147"/>
      <c r="B931" s="148"/>
      <c r="C931" s="149"/>
      <c r="D931" s="150"/>
      <c r="E931" s="151"/>
      <c r="F931" s="152"/>
      <c r="G931" s="152">
        <f t="shared" si="1"/>
        <v>0</v>
      </c>
      <c r="H931" s="153"/>
      <c r="I931" s="154"/>
      <c r="J931" s="147"/>
      <c r="K931" s="154"/>
    </row>
    <row r="932" ht="22.5" customHeight="1">
      <c r="A932" s="147"/>
      <c r="B932" s="148"/>
      <c r="C932" s="149"/>
      <c r="D932" s="150"/>
      <c r="E932" s="151"/>
      <c r="F932" s="152"/>
      <c r="G932" s="152">
        <f t="shared" si="1"/>
        <v>0</v>
      </c>
      <c r="H932" s="153"/>
      <c r="I932" s="154"/>
      <c r="J932" s="147"/>
      <c r="K932" s="154"/>
    </row>
    <row r="933" ht="22.5" customHeight="1">
      <c r="A933" s="147"/>
      <c r="B933" s="148"/>
      <c r="C933" s="149"/>
      <c r="D933" s="150"/>
      <c r="E933" s="151"/>
      <c r="F933" s="152"/>
      <c r="G933" s="152">
        <f t="shared" si="1"/>
        <v>0</v>
      </c>
      <c r="H933" s="153"/>
      <c r="I933" s="154"/>
      <c r="J933" s="147"/>
      <c r="K933" s="154"/>
    </row>
    <row r="934" ht="22.5" customHeight="1">
      <c r="A934" s="147"/>
      <c r="B934" s="148"/>
      <c r="C934" s="149"/>
      <c r="D934" s="150"/>
      <c r="E934" s="151"/>
      <c r="F934" s="152"/>
      <c r="G934" s="152">
        <f t="shared" si="1"/>
        <v>0</v>
      </c>
      <c r="H934" s="153"/>
      <c r="I934" s="154"/>
      <c r="J934" s="147"/>
      <c r="K934" s="154"/>
    </row>
    <row r="935" ht="22.5" customHeight="1">
      <c r="A935" s="147"/>
      <c r="B935" s="148"/>
      <c r="C935" s="149"/>
      <c r="D935" s="150"/>
      <c r="E935" s="151"/>
      <c r="F935" s="152"/>
      <c r="G935" s="152">
        <f t="shared" si="1"/>
        <v>0</v>
      </c>
      <c r="H935" s="153"/>
      <c r="I935" s="154"/>
      <c r="J935" s="147"/>
      <c r="K935" s="154"/>
    </row>
    <row r="936" ht="22.5" customHeight="1">
      <c r="A936" s="147"/>
      <c r="B936" s="148"/>
      <c r="C936" s="149"/>
      <c r="D936" s="150"/>
      <c r="E936" s="151"/>
      <c r="F936" s="152"/>
      <c r="G936" s="152">
        <f t="shared" si="1"/>
        <v>0</v>
      </c>
      <c r="H936" s="153"/>
      <c r="I936" s="154"/>
      <c r="J936" s="147"/>
      <c r="K936" s="154"/>
    </row>
    <row r="937" ht="22.5" customHeight="1">
      <c r="A937" s="147"/>
      <c r="B937" s="148"/>
      <c r="C937" s="149"/>
      <c r="D937" s="150"/>
      <c r="E937" s="151"/>
      <c r="F937" s="152"/>
      <c r="G937" s="152">
        <f t="shared" si="1"/>
        <v>0</v>
      </c>
      <c r="H937" s="153"/>
      <c r="I937" s="154"/>
      <c r="J937" s="147"/>
      <c r="K937" s="154"/>
    </row>
    <row r="938" ht="22.5" customHeight="1">
      <c r="A938" s="147"/>
      <c r="B938" s="148"/>
      <c r="C938" s="149"/>
      <c r="D938" s="150"/>
      <c r="E938" s="151"/>
      <c r="F938" s="152"/>
      <c r="G938" s="152">
        <f t="shared" si="1"/>
        <v>0</v>
      </c>
      <c r="H938" s="153"/>
      <c r="I938" s="154"/>
      <c r="J938" s="147"/>
      <c r="K938" s="154"/>
    </row>
  </sheetData>
  <dataValidations>
    <dataValidation type="custom" allowBlank="1" showDropDown="1" sqref="E2:G938 I2:I938 K2:K938">
      <formula1>AND(ISNUMBER(E2),(NOT(OR(NOT(ISERROR(DATEVALUE(E2))), AND(ISNUMBER(E2), LEFT(CELL("format", E2))="D")))))</formula1>
    </dataValidation>
    <dataValidation type="list" allowBlank="1" showDropDown="1" showErrorMessage="1" sqref="H2:H938">
      <formula1>"ACC,PENDING,CANCEL"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3.5"/>
    <col customWidth="1" min="3" max="3" width="20.38"/>
    <col customWidth="1" min="4" max="5" width="23.25"/>
    <col customWidth="1" min="6" max="6" width="15.25"/>
    <col customWidth="1" min="7" max="7" width="21.63"/>
    <col customWidth="1" min="8" max="8" width="19.0"/>
    <col customWidth="1" min="9" max="9" width="22.5"/>
    <col customWidth="1" min="10" max="10" width="14.13"/>
    <col customWidth="1" min="11" max="11" width="49.75"/>
  </cols>
  <sheetData>
    <row r="1" ht="22.5" customHeight="1">
      <c r="A1" s="14" t="s">
        <v>0</v>
      </c>
      <c r="B1" s="14" t="s">
        <v>2</v>
      </c>
      <c r="C1" s="18" t="s">
        <v>13</v>
      </c>
      <c r="D1" s="24" t="s">
        <v>18</v>
      </c>
      <c r="E1" s="27" t="s">
        <v>20</v>
      </c>
      <c r="F1" s="27" t="s">
        <v>5</v>
      </c>
      <c r="G1" s="14" t="s">
        <v>21</v>
      </c>
      <c r="H1" s="14" t="s">
        <v>7</v>
      </c>
      <c r="I1" s="32" t="s">
        <v>23</v>
      </c>
      <c r="J1" s="14" t="s">
        <v>8</v>
      </c>
      <c r="K1" s="33" t="s">
        <v>10</v>
      </c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ht="22.5" customHeight="1">
      <c r="A2" s="36" t="s">
        <v>27</v>
      </c>
      <c r="B2" s="38">
        <v>46024.0</v>
      </c>
      <c r="C2" s="39" t="s">
        <v>31</v>
      </c>
      <c r="D2" s="41">
        <v>4.3E7</v>
      </c>
      <c r="E2" s="43">
        <v>5.0E7</v>
      </c>
      <c r="F2" s="43">
        <v>5.0E7</v>
      </c>
      <c r="G2" s="46">
        <f t="shared" ref="G2:G156" si="1">F2-D2</f>
        <v>7000000</v>
      </c>
      <c r="H2" s="47"/>
      <c r="I2" s="49">
        <f t="shared" ref="I2:I149" si="2">G2/E2*100%</f>
        <v>0.14</v>
      </c>
      <c r="J2" s="50" t="s">
        <v>16</v>
      </c>
      <c r="K2" s="52" t="s">
        <v>42</v>
      </c>
    </row>
    <row r="3" ht="22.5" customHeight="1">
      <c r="A3" s="36" t="s">
        <v>46</v>
      </c>
      <c r="B3" s="38">
        <v>46024.0</v>
      </c>
      <c r="C3" s="54" t="s">
        <v>49</v>
      </c>
      <c r="D3" s="41">
        <v>1.5E8</v>
      </c>
      <c r="E3" s="43">
        <v>1.5E8</v>
      </c>
      <c r="F3" s="43">
        <v>1.5E8</v>
      </c>
      <c r="G3" s="46">
        <f t="shared" si="1"/>
        <v>0</v>
      </c>
      <c r="H3" s="58" t="s">
        <v>15</v>
      </c>
      <c r="I3" s="49">
        <f t="shared" si="2"/>
        <v>0</v>
      </c>
      <c r="J3" s="50" t="s">
        <v>16</v>
      </c>
      <c r="K3" s="52" t="s">
        <v>55</v>
      </c>
    </row>
    <row r="4" ht="22.5" customHeight="1">
      <c r="A4" s="36" t="s">
        <v>59</v>
      </c>
      <c r="B4" s="38">
        <v>46024.0</v>
      </c>
      <c r="C4" s="54" t="s">
        <v>61</v>
      </c>
      <c r="D4" s="41">
        <v>5.6E7</v>
      </c>
      <c r="E4" s="43">
        <v>6.2E7</v>
      </c>
      <c r="F4" s="43">
        <v>6.2E7</v>
      </c>
      <c r="G4" s="46">
        <f t="shared" si="1"/>
        <v>6000000</v>
      </c>
      <c r="H4" s="47"/>
      <c r="I4" s="49">
        <f t="shared" si="2"/>
        <v>0.09677419355</v>
      </c>
      <c r="J4" s="50" t="s">
        <v>16</v>
      </c>
      <c r="K4" s="52" t="s">
        <v>69</v>
      </c>
    </row>
    <row r="5" ht="22.5" customHeight="1">
      <c r="A5" s="36" t="s">
        <v>72</v>
      </c>
      <c r="B5" s="38">
        <v>46024.0</v>
      </c>
      <c r="C5" s="54" t="s">
        <v>73</v>
      </c>
      <c r="D5" s="41">
        <v>2.8E7</v>
      </c>
      <c r="E5" s="43">
        <v>3.3E7</v>
      </c>
      <c r="F5" s="43">
        <v>3.3E7</v>
      </c>
      <c r="G5" s="46">
        <f t="shared" si="1"/>
        <v>5000000</v>
      </c>
      <c r="H5" s="47"/>
      <c r="I5" s="49">
        <f t="shared" si="2"/>
        <v>0.1515151515</v>
      </c>
      <c r="J5" s="50" t="s">
        <v>16</v>
      </c>
      <c r="K5" s="52" t="s">
        <v>79</v>
      </c>
    </row>
    <row r="6" ht="22.5" customHeight="1">
      <c r="A6" s="36" t="s">
        <v>82</v>
      </c>
      <c r="B6" s="38">
        <v>46024.0</v>
      </c>
      <c r="C6" s="68">
        <v>46126.0</v>
      </c>
      <c r="D6" s="41">
        <v>6.0E7</v>
      </c>
      <c r="E6" s="43">
        <v>6.5E7</v>
      </c>
      <c r="F6" s="43">
        <v>6.5E7</v>
      </c>
      <c r="G6" s="46">
        <f t="shared" si="1"/>
        <v>5000000</v>
      </c>
      <c r="H6" s="58" t="s">
        <v>15</v>
      </c>
      <c r="I6" s="49">
        <f t="shared" si="2"/>
        <v>0.07692307692</v>
      </c>
      <c r="J6" s="50" t="s">
        <v>16</v>
      </c>
      <c r="K6" s="52" t="s">
        <v>87</v>
      </c>
    </row>
    <row r="7" ht="22.5" customHeight="1">
      <c r="A7" s="36" t="s">
        <v>88</v>
      </c>
      <c r="B7" s="38">
        <v>46024.0</v>
      </c>
      <c r="C7" s="54" t="s">
        <v>92</v>
      </c>
      <c r="D7" s="41">
        <v>4.5E7</v>
      </c>
      <c r="E7" s="43">
        <v>4.9E7</v>
      </c>
      <c r="F7" s="43">
        <v>4.9E7</v>
      </c>
      <c r="G7" s="46">
        <f t="shared" si="1"/>
        <v>4000000</v>
      </c>
      <c r="H7" s="58" t="s">
        <v>15</v>
      </c>
      <c r="I7" s="49">
        <f t="shared" si="2"/>
        <v>0.08163265306</v>
      </c>
      <c r="J7" s="50" t="s">
        <v>16</v>
      </c>
      <c r="K7" s="52" t="s">
        <v>98</v>
      </c>
    </row>
    <row r="8" ht="22.5" customHeight="1">
      <c r="A8" s="36" t="s">
        <v>99</v>
      </c>
      <c r="B8" s="38">
        <v>46024.0</v>
      </c>
      <c r="C8" s="54" t="s">
        <v>102</v>
      </c>
      <c r="D8" s="41">
        <v>4.0E7</v>
      </c>
      <c r="E8" s="43">
        <v>4.5E7</v>
      </c>
      <c r="F8" s="43">
        <v>4.5E7</v>
      </c>
      <c r="G8" s="46">
        <f t="shared" si="1"/>
        <v>5000000</v>
      </c>
      <c r="H8" s="47"/>
      <c r="I8" s="49">
        <f t="shared" si="2"/>
        <v>0.1111111111</v>
      </c>
      <c r="J8" s="50" t="s">
        <v>16</v>
      </c>
      <c r="K8" s="52" t="s">
        <v>107</v>
      </c>
    </row>
    <row r="9" ht="22.5" customHeight="1">
      <c r="A9" s="36" t="s">
        <v>109</v>
      </c>
      <c r="B9" s="38">
        <v>46024.0</v>
      </c>
      <c r="C9" s="54" t="s">
        <v>111</v>
      </c>
      <c r="D9" s="41">
        <v>6.0E7</v>
      </c>
      <c r="E9" s="43">
        <v>8.0E7</v>
      </c>
      <c r="F9" s="43">
        <v>7.0E7</v>
      </c>
      <c r="G9" s="46">
        <f t="shared" si="1"/>
        <v>10000000</v>
      </c>
      <c r="H9" s="47"/>
      <c r="I9" s="49">
        <f t="shared" si="2"/>
        <v>0.125</v>
      </c>
      <c r="J9" s="50" t="s">
        <v>16</v>
      </c>
      <c r="K9" s="70" t="s">
        <v>115</v>
      </c>
    </row>
    <row r="10" ht="22.5" customHeight="1">
      <c r="A10" s="36" t="s">
        <v>117</v>
      </c>
      <c r="B10" s="38">
        <v>46024.0</v>
      </c>
      <c r="C10" s="54" t="s">
        <v>118</v>
      </c>
      <c r="D10" s="41">
        <v>2.6E7</v>
      </c>
      <c r="E10" s="43">
        <v>4.0E7</v>
      </c>
      <c r="F10" s="43">
        <v>4.0E7</v>
      </c>
      <c r="G10" s="46">
        <f t="shared" si="1"/>
        <v>14000000</v>
      </c>
      <c r="H10" s="58" t="s">
        <v>15</v>
      </c>
      <c r="I10" s="49">
        <f t="shared" si="2"/>
        <v>0.35</v>
      </c>
      <c r="J10" s="50" t="s">
        <v>16</v>
      </c>
      <c r="K10" s="52" t="s">
        <v>121</v>
      </c>
    </row>
    <row r="11" ht="22.5" customHeight="1">
      <c r="A11" s="36" t="s">
        <v>124</v>
      </c>
      <c r="B11" s="38">
        <v>46024.0</v>
      </c>
      <c r="C11" s="54" t="s">
        <v>73</v>
      </c>
      <c r="D11" s="41">
        <v>3.8E7</v>
      </c>
      <c r="E11" s="43">
        <v>4.5E7</v>
      </c>
      <c r="F11" s="43">
        <v>4.5E7</v>
      </c>
      <c r="G11" s="46">
        <f t="shared" si="1"/>
        <v>7000000</v>
      </c>
      <c r="H11" s="47"/>
      <c r="I11" s="49">
        <f t="shared" si="2"/>
        <v>0.1555555556</v>
      </c>
      <c r="J11" s="50" t="s">
        <v>16</v>
      </c>
      <c r="K11" s="52" t="s">
        <v>107</v>
      </c>
    </row>
    <row r="12" ht="22.5" customHeight="1">
      <c r="A12" s="36" t="s">
        <v>134</v>
      </c>
      <c r="B12" s="38">
        <v>46024.0</v>
      </c>
      <c r="C12" s="54" t="s">
        <v>73</v>
      </c>
      <c r="D12" s="41">
        <v>5.0E7</v>
      </c>
      <c r="E12" s="43">
        <v>6.0E7</v>
      </c>
      <c r="F12" s="43">
        <v>6.0E7</v>
      </c>
      <c r="G12" s="46">
        <f t="shared" si="1"/>
        <v>10000000</v>
      </c>
      <c r="H12" s="47"/>
      <c r="I12" s="49">
        <f t="shared" si="2"/>
        <v>0.1666666667</v>
      </c>
      <c r="J12" s="50" t="s">
        <v>16</v>
      </c>
      <c r="K12" s="52" t="s">
        <v>136</v>
      </c>
    </row>
    <row r="13" ht="22.5" customHeight="1">
      <c r="A13" s="36" t="s">
        <v>138</v>
      </c>
      <c r="B13" s="38">
        <v>46024.0</v>
      </c>
      <c r="C13" s="54" t="s">
        <v>140</v>
      </c>
      <c r="D13" s="41">
        <v>7.4E7</v>
      </c>
      <c r="E13" s="43">
        <v>8.5E7</v>
      </c>
      <c r="F13" s="43">
        <v>8.3E7</v>
      </c>
      <c r="G13" s="46">
        <f t="shared" si="1"/>
        <v>9000000</v>
      </c>
      <c r="H13" s="47"/>
      <c r="I13" s="49">
        <f t="shared" si="2"/>
        <v>0.1058823529</v>
      </c>
      <c r="J13" s="50" t="s">
        <v>16</v>
      </c>
      <c r="K13" s="52" t="s">
        <v>141</v>
      </c>
    </row>
    <row r="14" ht="22.5" customHeight="1">
      <c r="A14" s="36" t="s">
        <v>145</v>
      </c>
      <c r="B14" s="38">
        <v>46024.0</v>
      </c>
      <c r="C14" s="54" t="s">
        <v>147</v>
      </c>
      <c r="D14" s="41">
        <v>3.8E7</v>
      </c>
      <c r="E14" s="43">
        <v>4.5E7</v>
      </c>
      <c r="F14" s="43">
        <v>4.5E7</v>
      </c>
      <c r="G14" s="46">
        <f t="shared" si="1"/>
        <v>7000000</v>
      </c>
      <c r="H14" s="47"/>
      <c r="I14" s="49">
        <f t="shared" si="2"/>
        <v>0.1555555556</v>
      </c>
      <c r="J14" s="50" t="s">
        <v>16</v>
      </c>
      <c r="K14" s="52" t="s">
        <v>149</v>
      </c>
    </row>
    <row r="15" ht="22.5" customHeight="1">
      <c r="A15" s="36" t="s">
        <v>152</v>
      </c>
      <c r="B15" s="38">
        <v>46024.0</v>
      </c>
      <c r="C15" s="54" t="s">
        <v>153</v>
      </c>
      <c r="D15" s="41">
        <v>4.5E7</v>
      </c>
      <c r="E15" s="43">
        <v>5.0E7</v>
      </c>
      <c r="F15" s="43">
        <v>5.0E7</v>
      </c>
      <c r="G15" s="46">
        <f t="shared" si="1"/>
        <v>5000000</v>
      </c>
      <c r="H15" s="47"/>
      <c r="I15" s="49">
        <f t="shared" si="2"/>
        <v>0.1</v>
      </c>
      <c r="J15" s="50" t="s">
        <v>16</v>
      </c>
      <c r="K15" s="52" t="s">
        <v>42</v>
      </c>
    </row>
    <row r="16" ht="22.5" customHeight="1">
      <c r="A16" s="36" t="s">
        <v>157</v>
      </c>
      <c r="B16" s="38">
        <v>46024.0</v>
      </c>
      <c r="C16" s="68">
        <v>46127.0</v>
      </c>
      <c r="D16" s="41">
        <v>5.0E7</v>
      </c>
      <c r="E16" s="43">
        <v>5.5E7</v>
      </c>
      <c r="F16" s="43">
        <v>5.5E7</v>
      </c>
      <c r="G16" s="46">
        <f t="shared" si="1"/>
        <v>5000000</v>
      </c>
      <c r="H16" s="58" t="s">
        <v>15</v>
      </c>
      <c r="I16" s="49">
        <f t="shared" si="2"/>
        <v>0.09090909091</v>
      </c>
      <c r="J16" s="50" t="s">
        <v>16</v>
      </c>
      <c r="K16" s="52" t="s">
        <v>162</v>
      </c>
    </row>
    <row r="17" ht="22.5" customHeight="1">
      <c r="A17" s="36" t="s">
        <v>169</v>
      </c>
      <c r="B17" s="73">
        <v>46034.0</v>
      </c>
      <c r="C17" s="74">
        <v>46119.0</v>
      </c>
      <c r="D17" s="41">
        <v>4.0E7</v>
      </c>
      <c r="E17" s="43">
        <v>4.5E7</v>
      </c>
      <c r="F17" s="43">
        <v>4.5E7</v>
      </c>
      <c r="G17" s="46">
        <f t="shared" si="1"/>
        <v>5000000</v>
      </c>
      <c r="H17" s="58" t="s">
        <v>15</v>
      </c>
      <c r="I17" s="49">
        <f t="shared" si="2"/>
        <v>0.1111111111</v>
      </c>
      <c r="J17" s="50" t="s">
        <v>16</v>
      </c>
      <c r="K17" s="52" t="s">
        <v>107</v>
      </c>
    </row>
    <row r="18" ht="22.5" customHeight="1">
      <c r="A18" s="36" t="s">
        <v>176</v>
      </c>
      <c r="B18" s="73">
        <v>46034.0</v>
      </c>
      <c r="C18" s="41"/>
      <c r="D18" s="41">
        <v>5.0E7</v>
      </c>
      <c r="E18" s="43">
        <v>5.0E7</v>
      </c>
      <c r="F18" s="43">
        <v>5.0E7</v>
      </c>
      <c r="G18" s="46">
        <f t="shared" si="1"/>
        <v>0</v>
      </c>
      <c r="H18" s="47"/>
      <c r="I18" s="49">
        <f t="shared" si="2"/>
        <v>0</v>
      </c>
      <c r="J18" s="50" t="s">
        <v>16</v>
      </c>
      <c r="K18" s="52" t="s">
        <v>180</v>
      </c>
    </row>
    <row r="19" ht="22.5" customHeight="1">
      <c r="A19" s="36" t="s">
        <v>184</v>
      </c>
      <c r="B19" s="73">
        <v>46034.0</v>
      </c>
      <c r="C19" s="41"/>
      <c r="D19" s="41">
        <v>5.0E7</v>
      </c>
      <c r="E19" s="43">
        <v>5.0E7</v>
      </c>
      <c r="F19" s="43">
        <v>5.0E7</v>
      </c>
      <c r="G19" s="46">
        <f t="shared" si="1"/>
        <v>0</v>
      </c>
      <c r="H19" s="47"/>
      <c r="I19" s="49">
        <f t="shared" si="2"/>
        <v>0</v>
      </c>
      <c r="J19" s="50" t="s">
        <v>16</v>
      </c>
      <c r="K19" s="52" t="s">
        <v>180</v>
      </c>
    </row>
    <row r="20" ht="22.5" customHeight="1">
      <c r="A20" s="36" t="s">
        <v>190</v>
      </c>
      <c r="B20" s="73">
        <v>46034.0</v>
      </c>
      <c r="C20" s="74">
        <v>46118.0</v>
      </c>
      <c r="D20" s="41">
        <v>2.5E7</v>
      </c>
      <c r="E20" s="43">
        <v>2.75E7</v>
      </c>
      <c r="F20" s="43">
        <v>2.75E7</v>
      </c>
      <c r="G20" s="46">
        <f t="shared" si="1"/>
        <v>2500000</v>
      </c>
      <c r="H20" s="58" t="s">
        <v>15</v>
      </c>
      <c r="I20" s="49">
        <f t="shared" si="2"/>
        <v>0.09090909091</v>
      </c>
      <c r="J20" s="50" t="s">
        <v>16</v>
      </c>
      <c r="K20" s="52" t="s">
        <v>195</v>
      </c>
    </row>
    <row r="21" ht="22.5" customHeight="1">
      <c r="A21" s="36" t="s">
        <v>197</v>
      </c>
      <c r="B21" s="73">
        <v>46034.0</v>
      </c>
      <c r="C21" s="54" t="s">
        <v>200</v>
      </c>
      <c r="D21" s="41">
        <v>2.9E7</v>
      </c>
      <c r="E21" s="43">
        <v>3.5E7</v>
      </c>
      <c r="F21" s="43">
        <v>3.5E7</v>
      </c>
      <c r="G21" s="46">
        <f t="shared" si="1"/>
        <v>6000000</v>
      </c>
      <c r="H21" s="47"/>
      <c r="I21" s="49">
        <f t="shared" si="2"/>
        <v>0.1714285714</v>
      </c>
      <c r="J21" s="50" t="s">
        <v>16</v>
      </c>
      <c r="K21" s="52" t="s">
        <v>205</v>
      </c>
    </row>
    <row r="22" ht="22.5" customHeight="1">
      <c r="A22" s="36" t="s">
        <v>208</v>
      </c>
      <c r="B22" s="73">
        <v>46034.0</v>
      </c>
      <c r="C22" s="54" t="s">
        <v>210</v>
      </c>
      <c r="D22" s="41">
        <v>2.25E7</v>
      </c>
      <c r="E22" s="43">
        <v>3.0E7</v>
      </c>
      <c r="F22" s="43">
        <v>3.0E7</v>
      </c>
      <c r="G22" s="46">
        <f t="shared" si="1"/>
        <v>7500000</v>
      </c>
      <c r="H22" s="47"/>
      <c r="I22" s="49">
        <f t="shared" si="2"/>
        <v>0.25</v>
      </c>
      <c r="J22" s="50" t="s">
        <v>16</v>
      </c>
      <c r="K22" s="52" t="s">
        <v>216</v>
      </c>
    </row>
    <row r="23" ht="22.5" customHeight="1">
      <c r="A23" s="36" t="s">
        <v>219</v>
      </c>
      <c r="B23" s="73">
        <v>46034.0</v>
      </c>
      <c r="C23" s="41"/>
      <c r="D23" s="41">
        <v>4.2E7</v>
      </c>
      <c r="E23" s="43">
        <v>5.5E7</v>
      </c>
      <c r="F23" s="43">
        <v>5.5E7</v>
      </c>
      <c r="G23" s="46">
        <f t="shared" si="1"/>
        <v>13000000</v>
      </c>
      <c r="H23" s="47"/>
      <c r="I23" s="49">
        <f t="shared" si="2"/>
        <v>0.2363636364</v>
      </c>
      <c r="J23" s="50" t="s">
        <v>16</v>
      </c>
      <c r="K23" s="52" t="s">
        <v>223</v>
      </c>
    </row>
    <row r="24" ht="22.5" customHeight="1">
      <c r="A24" s="36" t="s">
        <v>225</v>
      </c>
      <c r="B24" s="73">
        <v>46034.0</v>
      </c>
      <c r="C24" s="74">
        <v>46119.0</v>
      </c>
      <c r="D24" s="41">
        <v>2.3E7</v>
      </c>
      <c r="E24" s="43">
        <v>2.5E7</v>
      </c>
      <c r="F24" s="43">
        <v>2.5E7</v>
      </c>
      <c r="G24" s="46">
        <f t="shared" si="1"/>
        <v>2000000</v>
      </c>
      <c r="H24" s="58" t="s">
        <v>15</v>
      </c>
      <c r="I24" s="49">
        <f t="shared" si="2"/>
        <v>0.08</v>
      </c>
      <c r="J24" s="50" t="s">
        <v>16</v>
      </c>
      <c r="K24" s="52" t="s">
        <v>231</v>
      </c>
    </row>
    <row r="25" ht="22.5" customHeight="1">
      <c r="A25" s="36" t="s">
        <v>232</v>
      </c>
      <c r="B25" s="73">
        <v>46034.0</v>
      </c>
      <c r="C25" s="54" t="s">
        <v>233</v>
      </c>
      <c r="D25" s="41">
        <v>3.2E7</v>
      </c>
      <c r="E25" s="43">
        <v>3.8E7</v>
      </c>
      <c r="F25" s="43">
        <v>3.7E7</v>
      </c>
      <c r="G25" s="46">
        <f t="shared" si="1"/>
        <v>5000000</v>
      </c>
      <c r="H25" s="47"/>
      <c r="I25" s="49">
        <f t="shared" si="2"/>
        <v>0.1315789474</v>
      </c>
      <c r="J25" s="50" t="s">
        <v>16</v>
      </c>
      <c r="K25" s="52" t="s">
        <v>237</v>
      </c>
    </row>
    <row r="26" ht="22.5" customHeight="1">
      <c r="A26" s="36" t="s">
        <v>239</v>
      </c>
      <c r="B26" s="73">
        <v>46034.0</v>
      </c>
      <c r="C26" s="54" t="s">
        <v>240</v>
      </c>
      <c r="D26" s="41">
        <v>2.1E7</v>
      </c>
      <c r="E26" s="43">
        <v>3.0E7</v>
      </c>
      <c r="F26" s="43">
        <v>2.9E7</v>
      </c>
      <c r="G26" s="46">
        <f t="shared" si="1"/>
        <v>8000000</v>
      </c>
      <c r="H26" s="47"/>
      <c r="I26" s="49">
        <f t="shared" si="2"/>
        <v>0.2666666667</v>
      </c>
      <c r="J26" s="50" t="s">
        <v>16</v>
      </c>
      <c r="K26" s="52" t="s">
        <v>243</v>
      </c>
    </row>
    <row r="27" ht="22.5" customHeight="1">
      <c r="A27" s="36" t="s">
        <v>245</v>
      </c>
      <c r="B27" s="73">
        <v>46034.0</v>
      </c>
      <c r="C27" s="54" t="s">
        <v>246</v>
      </c>
      <c r="D27" s="41">
        <v>1.7E7</v>
      </c>
      <c r="E27" s="43">
        <v>1.7E7</v>
      </c>
      <c r="F27" s="43">
        <v>1.7E7</v>
      </c>
      <c r="G27" s="46">
        <f t="shared" si="1"/>
        <v>0</v>
      </c>
      <c r="H27" s="47"/>
      <c r="I27" s="49">
        <f t="shared" si="2"/>
        <v>0</v>
      </c>
      <c r="J27" s="50" t="s">
        <v>16</v>
      </c>
      <c r="K27" s="52" t="s">
        <v>180</v>
      </c>
    </row>
    <row r="28" ht="22.5" customHeight="1">
      <c r="A28" s="36" t="s">
        <v>249</v>
      </c>
      <c r="B28" s="73">
        <v>46037.0</v>
      </c>
      <c r="C28" s="54" t="s">
        <v>250</v>
      </c>
      <c r="D28" s="41">
        <v>3.0E7</v>
      </c>
      <c r="E28" s="43">
        <v>3.0E7</v>
      </c>
      <c r="F28" s="43">
        <v>3.0E7</v>
      </c>
      <c r="G28" s="46">
        <f t="shared" si="1"/>
        <v>0</v>
      </c>
      <c r="H28" s="47"/>
      <c r="I28" s="49">
        <f t="shared" si="2"/>
        <v>0</v>
      </c>
      <c r="J28" s="50" t="s">
        <v>16</v>
      </c>
      <c r="K28" s="52" t="s">
        <v>180</v>
      </c>
    </row>
    <row r="29" ht="22.5" customHeight="1">
      <c r="A29" s="36" t="s">
        <v>255</v>
      </c>
      <c r="B29" s="38">
        <v>46057.0</v>
      </c>
      <c r="C29" s="41"/>
      <c r="D29" s="41">
        <v>5.22E7</v>
      </c>
      <c r="E29" s="43">
        <v>0.0</v>
      </c>
      <c r="F29" s="43">
        <v>0.0</v>
      </c>
      <c r="G29" s="46">
        <f t="shared" si="1"/>
        <v>-52200000</v>
      </c>
      <c r="H29" s="58" t="s">
        <v>24</v>
      </c>
      <c r="I29" s="49" t="str">
        <f t="shared" si="2"/>
        <v>#DIV/0!</v>
      </c>
      <c r="J29" s="50" t="s">
        <v>16</v>
      </c>
      <c r="K29" s="52" t="s">
        <v>258</v>
      </c>
    </row>
    <row r="30" ht="22.5" customHeight="1">
      <c r="A30" s="36" t="s">
        <v>260</v>
      </c>
      <c r="B30" s="38">
        <v>46057.0</v>
      </c>
      <c r="C30" s="54" t="s">
        <v>262</v>
      </c>
      <c r="D30" s="41">
        <v>6.16E7</v>
      </c>
      <c r="E30" s="43">
        <v>7.0E7</v>
      </c>
      <c r="F30" s="43">
        <v>6.8333333E7</v>
      </c>
      <c r="G30" s="46">
        <f t="shared" si="1"/>
        <v>6733333</v>
      </c>
      <c r="H30" s="47"/>
      <c r="I30" s="49">
        <f t="shared" si="2"/>
        <v>0.09619047143</v>
      </c>
      <c r="J30" s="50" t="s">
        <v>16</v>
      </c>
      <c r="K30" s="52" t="s">
        <v>267</v>
      </c>
    </row>
    <row r="31" ht="22.5" customHeight="1">
      <c r="A31" s="36" t="s">
        <v>270</v>
      </c>
      <c r="B31" s="38">
        <v>46057.0</v>
      </c>
      <c r="C31" s="54" t="s">
        <v>92</v>
      </c>
      <c r="D31" s="41">
        <v>4.5E7</v>
      </c>
      <c r="E31" s="43">
        <v>5.0E7</v>
      </c>
      <c r="F31" s="43">
        <v>4.75E7</v>
      </c>
      <c r="G31" s="46">
        <f t="shared" si="1"/>
        <v>2500000</v>
      </c>
      <c r="H31" s="47"/>
      <c r="I31" s="49">
        <f t="shared" si="2"/>
        <v>0.05</v>
      </c>
      <c r="J31" s="50" t="s">
        <v>16</v>
      </c>
      <c r="K31" s="52" t="s">
        <v>276</v>
      </c>
    </row>
    <row r="32" ht="22.5" customHeight="1">
      <c r="A32" s="36" t="s">
        <v>278</v>
      </c>
      <c r="B32" s="38">
        <v>46057.0</v>
      </c>
      <c r="C32" s="54" t="s">
        <v>53</v>
      </c>
      <c r="D32" s="41">
        <v>5.5E7</v>
      </c>
      <c r="E32" s="43">
        <v>5.5E7</v>
      </c>
      <c r="F32" s="43">
        <v>5.5E7</v>
      </c>
      <c r="G32" s="46">
        <f t="shared" si="1"/>
        <v>0</v>
      </c>
      <c r="H32" s="47"/>
      <c r="I32" s="49">
        <f t="shared" si="2"/>
        <v>0</v>
      </c>
      <c r="J32" s="50" t="s">
        <v>16</v>
      </c>
      <c r="K32" s="52" t="s">
        <v>180</v>
      </c>
    </row>
    <row r="33" ht="22.5" customHeight="1">
      <c r="A33" s="36" t="s">
        <v>283</v>
      </c>
      <c r="B33" s="38">
        <v>46057.0</v>
      </c>
      <c r="C33" s="68">
        <v>46128.0</v>
      </c>
      <c r="D33" s="41">
        <v>2.3E7</v>
      </c>
      <c r="E33" s="43">
        <v>2.4E7</v>
      </c>
      <c r="F33" s="43">
        <v>2.3E7</v>
      </c>
      <c r="G33" s="46">
        <f t="shared" si="1"/>
        <v>0</v>
      </c>
      <c r="H33" s="58" t="s">
        <v>15</v>
      </c>
      <c r="I33" s="49">
        <f t="shared" si="2"/>
        <v>0</v>
      </c>
      <c r="J33" s="50" t="s">
        <v>16</v>
      </c>
      <c r="K33" s="52" t="s">
        <v>290</v>
      </c>
    </row>
    <row r="34" ht="22.5" customHeight="1">
      <c r="A34" s="36" t="s">
        <v>293</v>
      </c>
      <c r="B34" s="38">
        <v>46057.0</v>
      </c>
      <c r="C34" s="54" t="s">
        <v>294</v>
      </c>
      <c r="D34" s="41">
        <v>3.8E7</v>
      </c>
      <c r="E34" s="43">
        <v>4.2E7</v>
      </c>
      <c r="F34" s="43">
        <v>4.1E7</v>
      </c>
      <c r="G34" s="46">
        <f t="shared" si="1"/>
        <v>3000000</v>
      </c>
      <c r="H34" s="47"/>
      <c r="I34" s="49">
        <f t="shared" si="2"/>
        <v>0.07142857143</v>
      </c>
      <c r="J34" s="50" t="s">
        <v>16</v>
      </c>
      <c r="K34" s="52" t="s">
        <v>299</v>
      </c>
    </row>
    <row r="35" ht="22.5" customHeight="1">
      <c r="A35" s="36" t="s">
        <v>301</v>
      </c>
      <c r="B35" s="38">
        <v>46057.0</v>
      </c>
      <c r="C35" s="54" t="s">
        <v>201</v>
      </c>
      <c r="D35" s="41">
        <v>4.5E7</v>
      </c>
      <c r="E35" s="43">
        <v>5.0E7</v>
      </c>
      <c r="F35" s="43">
        <v>5.0E7</v>
      </c>
      <c r="G35" s="46">
        <f t="shared" si="1"/>
        <v>5000000</v>
      </c>
      <c r="H35" s="47"/>
      <c r="I35" s="49">
        <f t="shared" si="2"/>
        <v>0.1</v>
      </c>
      <c r="J35" s="50" t="s">
        <v>16</v>
      </c>
      <c r="K35" s="52" t="s">
        <v>42</v>
      </c>
    </row>
    <row r="36" ht="22.5" customHeight="1">
      <c r="A36" s="36" t="s">
        <v>306</v>
      </c>
      <c r="B36" s="38">
        <v>46057.0</v>
      </c>
      <c r="C36" s="54" t="s">
        <v>308</v>
      </c>
      <c r="D36" s="41">
        <v>4.5E7</v>
      </c>
      <c r="E36" s="43">
        <v>5.0E7</v>
      </c>
      <c r="F36" s="43">
        <v>5.0E7</v>
      </c>
      <c r="G36" s="46">
        <f t="shared" si="1"/>
        <v>5000000</v>
      </c>
      <c r="H36" s="47"/>
      <c r="I36" s="49">
        <f t="shared" si="2"/>
        <v>0.1</v>
      </c>
      <c r="J36" s="50" t="s">
        <v>16</v>
      </c>
      <c r="K36" s="52" t="s">
        <v>42</v>
      </c>
    </row>
    <row r="37" ht="22.5" customHeight="1">
      <c r="A37" s="36" t="s">
        <v>313</v>
      </c>
      <c r="B37" s="38">
        <v>46057.0</v>
      </c>
      <c r="C37" s="54" t="s">
        <v>314</v>
      </c>
      <c r="D37" s="41">
        <v>2.7E7</v>
      </c>
      <c r="E37" s="43">
        <v>2.8E7</v>
      </c>
      <c r="F37" s="43">
        <v>2.7E7</v>
      </c>
      <c r="G37" s="46">
        <f t="shared" si="1"/>
        <v>0</v>
      </c>
      <c r="H37" s="47"/>
      <c r="I37" s="49">
        <f t="shared" si="2"/>
        <v>0</v>
      </c>
      <c r="J37" s="50" t="s">
        <v>16</v>
      </c>
      <c r="K37" s="52" t="s">
        <v>318</v>
      </c>
    </row>
    <row r="38" ht="22.5" customHeight="1">
      <c r="A38" s="36" t="s">
        <v>321</v>
      </c>
      <c r="B38" s="38">
        <v>46057.0</v>
      </c>
      <c r="C38" s="54" t="s">
        <v>323</v>
      </c>
      <c r="D38" s="41">
        <v>2.3E7</v>
      </c>
      <c r="E38" s="43">
        <v>2.3E7</v>
      </c>
      <c r="F38" s="43">
        <v>2.3E7</v>
      </c>
      <c r="G38" s="46">
        <f t="shared" si="1"/>
        <v>0</v>
      </c>
      <c r="H38" s="47"/>
      <c r="I38" s="49">
        <f t="shared" si="2"/>
        <v>0</v>
      </c>
      <c r="J38" s="50" t="s">
        <v>16</v>
      </c>
      <c r="K38" s="52" t="s">
        <v>180</v>
      </c>
    </row>
    <row r="39" ht="22.5" customHeight="1">
      <c r="A39" s="36" t="s">
        <v>327</v>
      </c>
      <c r="B39" s="38">
        <v>46059.0</v>
      </c>
      <c r="C39" s="54" t="s">
        <v>328</v>
      </c>
      <c r="D39" s="41">
        <v>2.5E7</v>
      </c>
      <c r="E39" s="43">
        <v>3.5E7</v>
      </c>
      <c r="F39" s="43">
        <v>3.5E7</v>
      </c>
      <c r="G39" s="46">
        <f t="shared" si="1"/>
        <v>10000000</v>
      </c>
      <c r="H39" s="47"/>
      <c r="I39" s="49">
        <f t="shared" si="2"/>
        <v>0.2857142857</v>
      </c>
      <c r="J39" s="50" t="s">
        <v>16</v>
      </c>
      <c r="K39" s="52" t="s">
        <v>205</v>
      </c>
    </row>
    <row r="40" ht="22.5" customHeight="1">
      <c r="A40" s="36" t="s">
        <v>340</v>
      </c>
      <c r="B40" s="73">
        <v>46078.0</v>
      </c>
      <c r="C40" s="54" t="s">
        <v>342</v>
      </c>
      <c r="D40" s="41">
        <v>1.5E7</v>
      </c>
      <c r="E40" s="43">
        <v>1.5E7</v>
      </c>
      <c r="F40" s="43">
        <v>1.5E7</v>
      </c>
      <c r="G40" s="46">
        <f t="shared" si="1"/>
        <v>0</v>
      </c>
      <c r="H40" s="47"/>
      <c r="I40" s="49">
        <f t="shared" si="2"/>
        <v>0</v>
      </c>
      <c r="J40" s="50" t="s">
        <v>16</v>
      </c>
      <c r="K40" s="52" t="s">
        <v>180</v>
      </c>
    </row>
    <row r="41" ht="22.5" customHeight="1">
      <c r="A41" s="36" t="s">
        <v>348</v>
      </c>
      <c r="B41" s="73">
        <v>46080.0</v>
      </c>
      <c r="C41" s="54" t="s">
        <v>351</v>
      </c>
      <c r="D41" s="41">
        <v>3.5E7</v>
      </c>
      <c r="E41" s="43">
        <v>3.5E7</v>
      </c>
      <c r="F41" s="43">
        <v>3.5E7</v>
      </c>
      <c r="G41" s="46">
        <f t="shared" si="1"/>
        <v>0</v>
      </c>
      <c r="H41" s="47"/>
      <c r="I41" s="49">
        <f t="shared" si="2"/>
        <v>0</v>
      </c>
      <c r="J41" s="50" t="s">
        <v>16</v>
      </c>
      <c r="K41" s="52" t="s">
        <v>180</v>
      </c>
    </row>
    <row r="42" ht="22.5" customHeight="1">
      <c r="A42" s="36" t="s">
        <v>357</v>
      </c>
      <c r="B42" s="38">
        <v>46084.0</v>
      </c>
      <c r="C42" s="54" t="s">
        <v>360</v>
      </c>
      <c r="D42" s="87">
        <v>6.5E7</v>
      </c>
      <c r="E42" s="88">
        <v>6.5E7</v>
      </c>
      <c r="F42" s="88">
        <v>6.5E7</v>
      </c>
      <c r="G42" s="46">
        <f t="shared" si="1"/>
        <v>0</v>
      </c>
      <c r="H42" s="47"/>
      <c r="I42" s="49">
        <f t="shared" si="2"/>
        <v>0</v>
      </c>
      <c r="J42" s="50" t="s">
        <v>16</v>
      </c>
      <c r="K42" s="70" t="s">
        <v>180</v>
      </c>
    </row>
    <row r="43" ht="22.5" customHeight="1">
      <c r="A43" s="36" t="s">
        <v>373</v>
      </c>
      <c r="B43" s="38">
        <v>46084.0</v>
      </c>
      <c r="C43" s="54" t="s">
        <v>102</v>
      </c>
      <c r="D43" s="41">
        <v>3.5E7</v>
      </c>
      <c r="E43" s="43">
        <v>4.0E7</v>
      </c>
      <c r="F43" s="43">
        <v>3.5E7</v>
      </c>
      <c r="G43" s="46">
        <f t="shared" si="1"/>
        <v>0</v>
      </c>
      <c r="H43" s="47"/>
      <c r="I43" s="49">
        <f t="shared" si="2"/>
        <v>0</v>
      </c>
      <c r="J43" s="50" t="s">
        <v>16</v>
      </c>
      <c r="K43" s="70" t="s">
        <v>380</v>
      </c>
    </row>
    <row r="44" ht="22.5" customHeight="1">
      <c r="A44" s="36" t="s">
        <v>381</v>
      </c>
      <c r="B44" s="38">
        <v>46084.0</v>
      </c>
      <c r="C44" s="54" t="s">
        <v>384</v>
      </c>
      <c r="D44" s="41">
        <v>7.0E7</v>
      </c>
      <c r="E44" s="43">
        <v>7.0E7</v>
      </c>
      <c r="F44" s="43">
        <v>7.0E7</v>
      </c>
      <c r="G44" s="46">
        <f t="shared" si="1"/>
        <v>0</v>
      </c>
      <c r="H44" s="47"/>
      <c r="I44" s="49">
        <f t="shared" si="2"/>
        <v>0</v>
      </c>
      <c r="J44" s="50" t="s">
        <v>16</v>
      </c>
      <c r="K44" s="52" t="s">
        <v>180</v>
      </c>
    </row>
    <row r="45" ht="22.5" customHeight="1">
      <c r="A45" s="36" t="s">
        <v>390</v>
      </c>
      <c r="B45" s="38">
        <v>46084.0</v>
      </c>
      <c r="C45" s="54" t="s">
        <v>391</v>
      </c>
      <c r="D45" s="41">
        <v>3.4E7</v>
      </c>
      <c r="E45" s="43">
        <v>4.0E7</v>
      </c>
      <c r="F45" s="43">
        <v>3.8E7</v>
      </c>
      <c r="G45" s="46">
        <f t="shared" si="1"/>
        <v>4000000</v>
      </c>
      <c r="H45" s="47"/>
      <c r="I45" s="49">
        <f t="shared" si="2"/>
        <v>0.1</v>
      </c>
      <c r="J45" s="50" t="s">
        <v>16</v>
      </c>
      <c r="K45" s="70" t="s">
        <v>397</v>
      </c>
    </row>
    <row r="46" ht="22.5" customHeight="1">
      <c r="A46" s="36" t="s">
        <v>399</v>
      </c>
      <c r="B46" s="38">
        <v>46084.0</v>
      </c>
      <c r="C46" s="68">
        <v>46125.0</v>
      </c>
      <c r="D46" s="41">
        <v>4.0E7</v>
      </c>
      <c r="E46" s="43">
        <v>4.0E7</v>
      </c>
      <c r="F46" s="43">
        <v>4.0E7</v>
      </c>
      <c r="G46" s="46">
        <f t="shared" si="1"/>
        <v>0</v>
      </c>
      <c r="H46" s="58" t="s">
        <v>15</v>
      </c>
      <c r="I46" s="49">
        <f t="shared" si="2"/>
        <v>0</v>
      </c>
      <c r="J46" s="50" t="s">
        <v>16</v>
      </c>
      <c r="K46" s="52" t="s">
        <v>180</v>
      </c>
    </row>
    <row r="47" ht="22.5" customHeight="1">
      <c r="A47" s="36" t="s">
        <v>408</v>
      </c>
      <c r="B47" s="38">
        <v>46084.0</v>
      </c>
      <c r="C47" s="68">
        <v>46280.0</v>
      </c>
      <c r="D47" s="41">
        <v>1.0E7</v>
      </c>
      <c r="E47" s="43">
        <v>1.5E7</v>
      </c>
      <c r="F47" s="43">
        <v>1.5E7</v>
      </c>
      <c r="G47" s="46">
        <f t="shared" si="1"/>
        <v>5000000</v>
      </c>
      <c r="H47" s="47"/>
      <c r="I47" s="49">
        <f t="shared" si="2"/>
        <v>0.3333333333</v>
      </c>
      <c r="J47" s="50" t="s">
        <v>16</v>
      </c>
      <c r="K47" s="52" t="s">
        <v>412</v>
      </c>
    </row>
    <row r="48" ht="22.5" customHeight="1">
      <c r="A48" s="36" t="s">
        <v>413</v>
      </c>
      <c r="B48" s="38">
        <v>46084.0</v>
      </c>
      <c r="C48" s="68">
        <v>46280.0</v>
      </c>
      <c r="D48" s="41">
        <v>3.8E7</v>
      </c>
      <c r="E48" s="43">
        <v>5.0E7</v>
      </c>
      <c r="F48" s="43">
        <v>4.8E7</v>
      </c>
      <c r="G48" s="46">
        <f t="shared" si="1"/>
        <v>10000000</v>
      </c>
      <c r="H48" s="47"/>
      <c r="I48" s="49">
        <f t="shared" si="2"/>
        <v>0.2</v>
      </c>
      <c r="J48" s="50" t="s">
        <v>16</v>
      </c>
      <c r="K48" s="70" t="s">
        <v>420</v>
      </c>
    </row>
    <row r="49" ht="22.5" customHeight="1">
      <c r="A49" s="36" t="s">
        <v>421</v>
      </c>
      <c r="B49" s="73">
        <v>46107.0</v>
      </c>
      <c r="C49" s="41"/>
      <c r="D49" s="41">
        <v>1.0E7</v>
      </c>
      <c r="E49" s="43">
        <v>2.5E7</v>
      </c>
      <c r="F49" s="43">
        <v>1.8E7</v>
      </c>
      <c r="G49" s="46">
        <f t="shared" si="1"/>
        <v>8000000</v>
      </c>
      <c r="H49" s="47"/>
      <c r="I49" s="49">
        <f t="shared" si="2"/>
        <v>0.32</v>
      </c>
      <c r="J49" s="50" t="s">
        <v>16</v>
      </c>
      <c r="K49" s="52" t="s">
        <v>426</v>
      </c>
    </row>
    <row r="50" ht="22.5" customHeight="1">
      <c r="A50" s="36" t="s">
        <v>427</v>
      </c>
      <c r="B50" s="38">
        <v>46113.0</v>
      </c>
      <c r="C50" s="41"/>
      <c r="D50" s="41">
        <v>4.6E7</v>
      </c>
      <c r="E50" s="43">
        <v>6.0E7</v>
      </c>
      <c r="F50" s="43">
        <v>5.5E7</v>
      </c>
      <c r="G50" s="46">
        <f t="shared" si="1"/>
        <v>9000000</v>
      </c>
      <c r="H50" s="47"/>
      <c r="I50" s="49">
        <f t="shared" si="2"/>
        <v>0.15</v>
      </c>
      <c r="J50" s="50" t="s">
        <v>16</v>
      </c>
      <c r="K50" s="52" t="s">
        <v>432</v>
      </c>
    </row>
    <row r="51" ht="22.5" customHeight="1">
      <c r="A51" s="36" t="s">
        <v>435</v>
      </c>
      <c r="B51" s="38">
        <v>46113.0</v>
      </c>
      <c r="C51" s="54" t="s">
        <v>391</v>
      </c>
      <c r="D51" s="54">
        <v>4.6E7</v>
      </c>
      <c r="E51" s="43">
        <v>5.0E7</v>
      </c>
      <c r="F51" s="43">
        <v>4.8E7</v>
      </c>
      <c r="G51" s="46">
        <f t="shared" si="1"/>
        <v>2000000</v>
      </c>
      <c r="H51" s="47"/>
      <c r="I51" s="49">
        <f t="shared" si="2"/>
        <v>0.04</v>
      </c>
      <c r="J51" s="50" t="s">
        <v>16</v>
      </c>
      <c r="K51" s="52" t="s">
        <v>438</v>
      </c>
    </row>
    <row r="52" ht="22.5" customHeight="1">
      <c r="A52" s="36" t="s">
        <v>441</v>
      </c>
      <c r="B52" s="38">
        <v>46113.0</v>
      </c>
      <c r="C52" s="41"/>
      <c r="D52" s="41">
        <v>2.4E7</v>
      </c>
      <c r="E52" s="43">
        <v>4.0E7</v>
      </c>
      <c r="F52" s="43">
        <v>3.5E7</v>
      </c>
      <c r="G52" s="46">
        <f t="shared" si="1"/>
        <v>11000000</v>
      </c>
      <c r="H52" s="47"/>
      <c r="I52" s="49">
        <f t="shared" si="2"/>
        <v>0.275</v>
      </c>
      <c r="J52" s="50" t="s">
        <v>16</v>
      </c>
      <c r="K52" s="52" t="s">
        <v>447</v>
      </c>
    </row>
    <row r="53" ht="22.5" customHeight="1">
      <c r="A53" s="36" t="s">
        <v>448</v>
      </c>
      <c r="B53" s="38">
        <v>46113.0</v>
      </c>
      <c r="C53" s="54" t="s">
        <v>210</v>
      </c>
      <c r="D53" s="41">
        <v>2.8E7</v>
      </c>
      <c r="E53" s="43">
        <v>3.2E7</v>
      </c>
      <c r="F53" s="43">
        <v>3.0E7</v>
      </c>
      <c r="G53" s="46">
        <f t="shared" si="1"/>
        <v>2000000</v>
      </c>
      <c r="H53" s="47"/>
      <c r="I53" s="49">
        <f t="shared" si="2"/>
        <v>0.0625</v>
      </c>
      <c r="J53" s="50" t="s">
        <v>16</v>
      </c>
      <c r="K53" s="52"/>
    </row>
    <row r="54" ht="22.5" customHeight="1">
      <c r="A54" s="36" t="s">
        <v>459</v>
      </c>
      <c r="B54" s="38">
        <v>46113.0</v>
      </c>
      <c r="C54" s="54" t="s">
        <v>210</v>
      </c>
      <c r="D54" s="41">
        <v>2.8E7</v>
      </c>
      <c r="E54" s="43">
        <v>3.2E7</v>
      </c>
      <c r="F54" s="43">
        <v>3.0E7</v>
      </c>
      <c r="G54" s="46">
        <f t="shared" si="1"/>
        <v>2000000</v>
      </c>
      <c r="H54" s="100"/>
      <c r="I54" s="49">
        <f t="shared" si="2"/>
        <v>0.0625</v>
      </c>
      <c r="J54" s="50" t="s">
        <v>16</v>
      </c>
      <c r="K54" s="52"/>
    </row>
    <row r="55" ht="22.5" customHeight="1">
      <c r="A55" s="36" t="s">
        <v>467</v>
      </c>
      <c r="B55" s="38">
        <v>46113.0</v>
      </c>
      <c r="C55" s="41"/>
      <c r="D55" s="41">
        <v>2.9E7</v>
      </c>
      <c r="E55" s="43">
        <v>3.8E7</v>
      </c>
      <c r="F55" s="43">
        <v>3.4E7</v>
      </c>
      <c r="G55" s="46">
        <f t="shared" si="1"/>
        <v>5000000</v>
      </c>
      <c r="H55" s="100"/>
      <c r="I55" s="49">
        <f t="shared" si="2"/>
        <v>0.1315789474</v>
      </c>
      <c r="J55" s="50" t="s">
        <v>16</v>
      </c>
      <c r="K55" s="52" t="s">
        <v>205</v>
      </c>
    </row>
    <row r="56" ht="22.5" customHeight="1">
      <c r="A56" s="36" t="s">
        <v>497</v>
      </c>
      <c r="B56" s="38">
        <v>46114.0</v>
      </c>
      <c r="C56" s="54" t="s">
        <v>500</v>
      </c>
      <c r="D56" s="41">
        <v>3.8E7</v>
      </c>
      <c r="E56" s="43">
        <v>4.0E7</v>
      </c>
      <c r="F56" s="43">
        <v>3.8E7</v>
      </c>
      <c r="G56" s="46">
        <f t="shared" si="1"/>
        <v>0</v>
      </c>
      <c r="H56" s="100"/>
      <c r="I56" s="49">
        <f t="shared" si="2"/>
        <v>0</v>
      </c>
      <c r="J56" s="50" t="s">
        <v>16</v>
      </c>
      <c r="K56" s="70" t="s">
        <v>504</v>
      </c>
    </row>
    <row r="57" ht="22.5" customHeight="1">
      <c r="A57" s="36" t="s">
        <v>509</v>
      </c>
      <c r="B57" s="38">
        <v>46114.0</v>
      </c>
      <c r="C57" s="54" t="s">
        <v>511</v>
      </c>
      <c r="D57" s="41">
        <v>4.5E7</v>
      </c>
      <c r="E57" s="43">
        <v>5.0E7</v>
      </c>
      <c r="F57" s="43">
        <v>4.8E7</v>
      </c>
      <c r="G57" s="46">
        <f t="shared" si="1"/>
        <v>3000000</v>
      </c>
      <c r="H57" s="105" t="s">
        <v>15</v>
      </c>
      <c r="I57" s="49">
        <f t="shared" si="2"/>
        <v>0.06</v>
      </c>
      <c r="J57" s="50" t="s">
        <v>16</v>
      </c>
      <c r="K57" s="52" t="s">
        <v>438</v>
      </c>
    </row>
    <row r="58" ht="22.5" customHeight="1">
      <c r="A58" s="36" t="s">
        <v>524</v>
      </c>
      <c r="B58" s="38">
        <v>46114.0</v>
      </c>
      <c r="C58" s="41"/>
      <c r="D58" s="41">
        <v>2.0E7</v>
      </c>
      <c r="E58" s="43">
        <v>2.5E7</v>
      </c>
      <c r="F58" s="43">
        <v>2.5E7</v>
      </c>
      <c r="G58" s="46">
        <f t="shared" si="1"/>
        <v>5000000</v>
      </c>
      <c r="H58" s="100"/>
      <c r="I58" s="49">
        <f t="shared" si="2"/>
        <v>0.2</v>
      </c>
      <c r="J58" s="50" t="s">
        <v>16</v>
      </c>
      <c r="K58" s="52" t="s">
        <v>231</v>
      </c>
    </row>
    <row r="59" ht="22.5" customHeight="1">
      <c r="A59" s="36" t="s">
        <v>536</v>
      </c>
      <c r="B59" s="38">
        <v>46114.0</v>
      </c>
      <c r="C59" s="68">
        <v>46132.0</v>
      </c>
      <c r="D59" s="41">
        <v>3.2E7</v>
      </c>
      <c r="E59" s="43">
        <v>3.2E7</v>
      </c>
      <c r="F59" s="43">
        <v>3.2E7</v>
      </c>
      <c r="G59" s="46">
        <f t="shared" si="1"/>
        <v>0</v>
      </c>
      <c r="H59" s="58" t="s">
        <v>15</v>
      </c>
      <c r="I59" s="49">
        <f t="shared" si="2"/>
        <v>0</v>
      </c>
      <c r="J59" s="50" t="s">
        <v>16</v>
      </c>
      <c r="K59" s="52" t="s">
        <v>180</v>
      </c>
    </row>
    <row r="60" ht="22.5" customHeight="1">
      <c r="A60" s="36" t="s">
        <v>546</v>
      </c>
      <c r="B60" s="38">
        <v>46114.0</v>
      </c>
      <c r="C60" s="54" t="s">
        <v>364</v>
      </c>
      <c r="D60" s="41">
        <v>1.9E7</v>
      </c>
      <c r="E60" s="43">
        <v>3.0E7</v>
      </c>
      <c r="F60" s="43">
        <v>1.9E7</v>
      </c>
      <c r="G60" s="46">
        <f t="shared" si="1"/>
        <v>0</v>
      </c>
      <c r="H60" s="100"/>
      <c r="I60" s="49">
        <f t="shared" si="2"/>
        <v>0</v>
      </c>
      <c r="J60" s="50" t="s">
        <v>16</v>
      </c>
      <c r="K60" s="70" t="s">
        <v>552</v>
      </c>
    </row>
    <row r="61" ht="22.5" customHeight="1">
      <c r="A61" s="36" t="s">
        <v>554</v>
      </c>
      <c r="B61" s="38">
        <v>46114.0</v>
      </c>
      <c r="C61" s="41"/>
      <c r="D61" s="41">
        <v>1.9E7</v>
      </c>
      <c r="E61" s="43">
        <v>4.0E7</v>
      </c>
      <c r="F61" s="43">
        <v>3.0E7</v>
      </c>
      <c r="G61" s="46">
        <f t="shared" si="1"/>
        <v>11000000</v>
      </c>
      <c r="H61" s="100"/>
      <c r="I61" s="49">
        <f t="shared" si="2"/>
        <v>0.275</v>
      </c>
      <c r="J61" s="50" t="s">
        <v>16</v>
      </c>
      <c r="K61" s="52" t="s">
        <v>121</v>
      </c>
    </row>
    <row r="62" ht="22.5" customHeight="1">
      <c r="A62" s="36" t="s">
        <v>564</v>
      </c>
      <c r="B62" s="38">
        <v>46114.0</v>
      </c>
      <c r="C62" s="112"/>
      <c r="D62" s="41">
        <v>3.25E7</v>
      </c>
      <c r="E62" s="114">
        <v>0.0</v>
      </c>
      <c r="F62" s="114">
        <v>0.0</v>
      </c>
      <c r="G62" s="46">
        <f t="shared" si="1"/>
        <v>-32500000</v>
      </c>
      <c r="H62" s="100"/>
      <c r="I62" s="49" t="str">
        <f t="shared" si="2"/>
        <v>#DIV/0!</v>
      </c>
      <c r="J62" s="50" t="s">
        <v>16</v>
      </c>
      <c r="K62" s="70" t="s">
        <v>582</v>
      </c>
    </row>
    <row r="63" ht="22.5" customHeight="1">
      <c r="A63" s="36" t="s">
        <v>585</v>
      </c>
      <c r="B63" s="38">
        <v>46114.0</v>
      </c>
      <c r="C63" s="54" t="s">
        <v>233</v>
      </c>
      <c r="D63" s="41">
        <v>2.75E7</v>
      </c>
      <c r="E63" s="43">
        <v>3.5E7</v>
      </c>
      <c r="F63" s="43">
        <v>3.0E7</v>
      </c>
      <c r="G63" s="46">
        <f t="shared" si="1"/>
        <v>2500000</v>
      </c>
      <c r="H63" s="100"/>
      <c r="I63" s="49">
        <f t="shared" si="2"/>
        <v>0.07142857143</v>
      </c>
      <c r="J63" s="50" t="s">
        <v>16</v>
      </c>
      <c r="K63" s="52" t="s">
        <v>590</v>
      </c>
    </row>
    <row r="64" ht="22.5" customHeight="1">
      <c r="A64" s="39" t="s">
        <v>593</v>
      </c>
      <c r="B64" s="116">
        <v>46119.0</v>
      </c>
      <c r="C64" s="54" t="s">
        <v>153</v>
      </c>
      <c r="D64" s="54">
        <v>5.0E7</v>
      </c>
      <c r="E64" s="54">
        <v>5.0E7</v>
      </c>
      <c r="F64" s="54">
        <v>5.0E7</v>
      </c>
      <c r="G64" s="46">
        <f t="shared" si="1"/>
        <v>0</v>
      </c>
      <c r="H64" s="100"/>
      <c r="I64" s="49">
        <f t="shared" si="2"/>
        <v>0</v>
      </c>
      <c r="J64" s="50" t="s">
        <v>16</v>
      </c>
      <c r="K64" s="118" t="s">
        <v>180</v>
      </c>
    </row>
    <row r="65" ht="22.5" customHeight="1">
      <c r="A65" s="39" t="s">
        <v>605</v>
      </c>
      <c r="B65" s="116">
        <v>46119.0</v>
      </c>
      <c r="C65" s="54" t="s">
        <v>31</v>
      </c>
      <c r="D65" s="54">
        <v>2.0E7</v>
      </c>
      <c r="E65" s="54">
        <v>2.2E7</v>
      </c>
      <c r="F65" s="54">
        <v>2.1E7</v>
      </c>
      <c r="G65" s="46">
        <f t="shared" si="1"/>
        <v>1000000</v>
      </c>
      <c r="H65" s="100"/>
      <c r="I65" s="49">
        <f t="shared" si="2"/>
        <v>0.04545454545</v>
      </c>
      <c r="J65" s="50" t="s">
        <v>16</v>
      </c>
      <c r="K65" s="118" t="s">
        <v>609</v>
      </c>
    </row>
    <row r="66" ht="22.5" customHeight="1">
      <c r="A66" s="39" t="s">
        <v>612</v>
      </c>
      <c r="B66" s="116">
        <v>46119.0</v>
      </c>
      <c r="C66" s="54" t="s">
        <v>294</v>
      </c>
      <c r="D66" s="54">
        <v>1.95E7</v>
      </c>
      <c r="E66" s="54">
        <v>2.0E7</v>
      </c>
      <c r="F66" s="54">
        <v>2.0E7</v>
      </c>
      <c r="G66" s="46">
        <f t="shared" si="1"/>
        <v>500000</v>
      </c>
      <c r="H66" s="100"/>
      <c r="I66" s="49">
        <f t="shared" si="2"/>
        <v>0.025</v>
      </c>
      <c r="J66" s="50" t="s">
        <v>16</v>
      </c>
      <c r="K66" s="118" t="s">
        <v>621</v>
      </c>
    </row>
    <row r="67" ht="22.5" customHeight="1">
      <c r="A67" s="36" t="s">
        <v>625</v>
      </c>
      <c r="B67" s="113">
        <v>46144.0</v>
      </c>
      <c r="C67" s="68">
        <v>46282.0</v>
      </c>
      <c r="D67" s="43">
        <v>2.0E7</v>
      </c>
      <c r="E67" s="54">
        <v>2.5E7</v>
      </c>
      <c r="F67" s="54">
        <v>2.2E7</v>
      </c>
      <c r="G67" s="46">
        <f t="shared" si="1"/>
        <v>2000000</v>
      </c>
      <c r="H67" s="100"/>
      <c r="I67" s="49">
        <f t="shared" si="2"/>
        <v>0.08</v>
      </c>
      <c r="J67" s="50" t="s">
        <v>16</v>
      </c>
      <c r="K67" s="118" t="s">
        <v>633</v>
      </c>
    </row>
    <row r="68" ht="22.5" customHeight="1">
      <c r="A68" s="36" t="s">
        <v>635</v>
      </c>
      <c r="B68" s="113">
        <v>46144.0</v>
      </c>
      <c r="C68" s="68">
        <v>46279.0</v>
      </c>
      <c r="D68" s="43">
        <v>4.0E7</v>
      </c>
      <c r="E68" s="54">
        <v>4.5E7</v>
      </c>
      <c r="F68" s="54">
        <v>4.5E7</v>
      </c>
      <c r="G68" s="46">
        <f t="shared" si="1"/>
        <v>5000000</v>
      </c>
      <c r="H68" s="100"/>
      <c r="I68" s="49">
        <f t="shared" si="2"/>
        <v>0.1111111111</v>
      </c>
      <c r="J68" s="50" t="s">
        <v>16</v>
      </c>
      <c r="K68" s="120"/>
    </row>
    <row r="69" ht="22.5" customHeight="1">
      <c r="A69" s="36" t="s">
        <v>641</v>
      </c>
      <c r="B69" s="113">
        <v>46144.0</v>
      </c>
      <c r="C69" s="41"/>
      <c r="D69" s="43">
        <v>3.5E7</v>
      </c>
      <c r="E69" s="54">
        <v>4.0E7</v>
      </c>
      <c r="F69" s="54">
        <v>4.0E7</v>
      </c>
      <c r="G69" s="46">
        <f t="shared" si="1"/>
        <v>5000000</v>
      </c>
      <c r="H69" s="100"/>
      <c r="I69" s="49">
        <f t="shared" si="2"/>
        <v>0.125</v>
      </c>
      <c r="J69" s="50" t="s">
        <v>16</v>
      </c>
      <c r="K69" s="118"/>
    </row>
    <row r="70" ht="22.5" customHeight="1">
      <c r="A70" s="36" t="s">
        <v>648</v>
      </c>
      <c r="B70" s="113">
        <v>46144.0</v>
      </c>
      <c r="C70" s="41"/>
      <c r="D70" s="43">
        <v>2.5E7</v>
      </c>
      <c r="E70" s="54">
        <v>3.0E7</v>
      </c>
      <c r="F70" s="54">
        <v>3.0E7</v>
      </c>
      <c r="G70" s="46">
        <f t="shared" si="1"/>
        <v>5000000</v>
      </c>
      <c r="H70" s="100"/>
      <c r="I70" s="49">
        <f t="shared" si="2"/>
        <v>0.1666666667</v>
      </c>
      <c r="J70" s="50" t="s">
        <v>16</v>
      </c>
      <c r="K70" s="118" t="s">
        <v>653</v>
      </c>
    </row>
    <row r="71" ht="22.5" customHeight="1">
      <c r="A71" s="36" t="s">
        <v>655</v>
      </c>
      <c r="B71" s="113">
        <v>46144.0</v>
      </c>
      <c r="C71" s="54" t="s">
        <v>658</v>
      </c>
      <c r="D71" s="43">
        <v>2.4E7</v>
      </c>
      <c r="E71" s="54">
        <v>2.8E7</v>
      </c>
      <c r="F71" s="54">
        <v>2.4E7</v>
      </c>
      <c r="G71" s="46">
        <f t="shared" si="1"/>
        <v>0</v>
      </c>
      <c r="H71" s="100"/>
      <c r="I71" s="49">
        <f t="shared" si="2"/>
        <v>0</v>
      </c>
      <c r="J71" s="50" t="s">
        <v>16</v>
      </c>
      <c r="K71" s="118" t="s">
        <v>663</v>
      </c>
    </row>
    <row r="72" ht="22.5" customHeight="1">
      <c r="A72" s="36" t="s">
        <v>664</v>
      </c>
      <c r="B72" s="113">
        <v>46146.0</v>
      </c>
      <c r="C72" s="41"/>
      <c r="D72" s="43">
        <v>5.8E7</v>
      </c>
      <c r="E72" s="54">
        <v>1.1E8</v>
      </c>
      <c r="F72" s="54">
        <v>9.0E7</v>
      </c>
      <c r="G72" s="46">
        <f t="shared" si="1"/>
        <v>32000000</v>
      </c>
      <c r="H72" s="100"/>
      <c r="I72" s="49">
        <f t="shared" si="2"/>
        <v>0.2909090909</v>
      </c>
      <c r="J72" s="50" t="s">
        <v>16</v>
      </c>
      <c r="K72" s="120"/>
    </row>
    <row r="73" ht="22.5" customHeight="1">
      <c r="A73" s="36" t="s">
        <v>671</v>
      </c>
      <c r="B73" s="113">
        <v>46146.0</v>
      </c>
      <c r="C73" s="41"/>
      <c r="D73" s="43">
        <v>4.2E7</v>
      </c>
      <c r="E73" s="54">
        <v>5.5E7</v>
      </c>
      <c r="F73" s="54">
        <v>4.8E7</v>
      </c>
      <c r="G73" s="46">
        <f t="shared" si="1"/>
        <v>6000000</v>
      </c>
      <c r="H73" s="100"/>
      <c r="I73" s="49">
        <f t="shared" si="2"/>
        <v>0.1090909091</v>
      </c>
      <c r="J73" s="50" t="s">
        <v>16</v>
      </c>
      <c r="K73" s="120"/>
    </row>
    <row r="74" ht="22.5" customHeight="1">
      <c r="A74" s="36" t="s">
        <v>681</v>
      </c>
      <c r="B74" s="113">
        <v>46146.0</v>
      </c>
      <c r="C74" s="54" t="s">
        <v>685</v>
      </c>
      <c r="D74" s="43">
        <v>6.0E7</v>
      </c>
      <c r="E74" s="54">
        <v>8.0E7</v>
      </c>
      <c r="F74" s="54">
        <v>7.5E7</v>
      </c>
      <c r="G74" s="46">
        <f t="shared" si="1"/>
        <v>15000000</v>
      </c>
      <c r="H74" s="100"/>
      <c r="I74" s="49">
        <f t="shared" si="2"/>
        <v>0.1875</v>
      </c>
      <c r="J74" s="50" t="s">
        <v>16</v>
      </c>
      <c r="K74" s="120"/>
    </row>
    <row r="75" ht="22.5" customHeight="1">
      <c r="A75" s="36" t="s">
        <v>691</v>
      </c>
      <c r="B75" s="113">
        <v>46146.0</v>
      </c>
      <c r="C75" s="54" t="s">
        <v>693</v>
      </c>
      <c r="D75" s="43">
        <v>2.75E7</v>
      </c>
      <c r="E75" s="54">
        <v>4.0E7</v>
      </c>
      <c r="F75" s="54">
        <v>3.5E7</v>
      </c>
      <c r="G75" s="46">
        <f t="shared" si="1"/>
        <v>7500000</v>
      </c>
      <c r="H75" s="100"/>
      <c r="I75" s="49">
        <f t="shared" si="2"/>
        <v>0.1875</v>
      </c>
      <c r="J75" s="50" t="s">
        <v>16</v>
      </c>
      <c r="K75" s="120"/>
    </row>
    <row r="76" ht="22.5" customHeight="1">
      <c r="A76" s="36" t="s">
        <v>699</v>
      </c>
      <c r="B76" s="113">
        <v>46146.0</v>
      </c>
      <c r="C76" s="41"/>
      <c r="D76" s="43">
        <v>4.0E7</v>
      </c>
      <c r="E76" s="54">
        <v>4.5E7</v>
      </c>
      <c r="F76" s="54">
        <v>4.5E7</v>
      </c>
      <c r="G76" s="46">
        <f t="shared" si="1"/>
        <v>5000000</v>
      </c>
      <c r="H76" s="100"/>
      <c r="I76" s="49">
        <f t="shared" si="2"/>
        <v>0.1111111111</v>
      </c>
      <c r="J76" s="50" t="s">
        <v>16</v>
      </c>
      <c r="K76" s="120"/>
    </row>
    <row r="77" ht="22.5" customHeight="1">
      <c r="A77" s="36" t="s">
        <v>706</v>
      </c>
      <c r="B77" s="122">
        <v>46157.0</v>
      </c>
      <c r="C77" s="54" t="s">
        <v>405</v>
      </c>
      <c r="D77" s="43">
        <v>3.2E7</v>
      </c>
      <c r="E77" s="54">
        <v>4.5E7</v>
      </c>
      <c r="F77" s="54">
        <v>3.8E7</v>
      </c>
      <c r="G77" s="46">
        <f t="shared" si="1"/>
        <v>6000000</v>
      </c>
      <c r="H77" s="100"/>
      <c r="I77" s="49">
        <f t="shared" si="2"/>
        <v>0.1333333333</v>
      </c>
      <c r="J77" s="50" t="s">
        <v>16</v>
      </c>
      <c r="K77" s="120"/>
    </row>
    <row r="78" ht="22.5" customHeight="1">
      <c r="A78" s="36" t="s">
        <v>715</v>
      </c>
      <c r="B78" s="113">
        <v>46148.0</v>
      </c>
      <c r="C78" s="41"/>
      <c r="D78" s="43">
        <v>3.5E7</v>
      </c>
      <c r="E78" s="54">
        <v>4.5E7</v>
      </c>
      <c r="F78" s="54">
        <v>4.5E7</v>
      </c>
      <c r="G78" s="46">
        <f t="shared" si="1"/>
        <v>10000000</v>
      </c>
      <c r="H78" s="100"/>
      <c r="I78" s="49">
        <f t="shared" si="2"/>
        <v>0.2222222222</v>
      </c>
      <c r="J78" s="50" t="s">
        <v>16</v>
      </c>
      <c r="K78" s="120"/>
    </row>
    <row r="79" ht="22.5" customHeight="1">
      <c r="A79" s="36" t="s">
        <v>722</v>
      </c>
      <c r="B79" s="113">
        <v>46148.0</v>
      </c>
      <c r="C79" s="54" t="s">
        <v>126</v>
      </c>
      <c r="D79" s="43">
        <v>3.0E7</v>
      </c>
      <c r="E79" s="54">
        <v>3.5E7</v>
      </c>
      <c r="F79" s="54">
        <v>3.25E7</v>
      </c>
      <c r="G79" s="46">
        <f t="shared" si="1"/>
        <v>2500000</v>
      </c>
      <c r="H79" s="105" t="s">
        <v>15</v>
      </c>
      <c r="I79" s="49">
        <f t="shared" si="2"/>
        <v>0.07142857143</v>
      </c>
      <c r="J79" s="50" t="s">
        <v>16</v>
      </c>
      <c r="K79" s="118" t="s">
        <v>728</v>
      </c>
    </row>
    <row r="80" ht="22.5" customHeight="1">
      <c r="A80" s="36" t="s">
        <v>733</v>
      </c>
      <c r="B80" s="113">
        <v>46148.0</v>
      </c>
      <c r="C80" s="41"/>
      <c r="D80" s="43">
        <v>2.3E7</v>
      </c>
      <c r="E80" s="54">
        <v>4.5E7</v>
      </c>
      <c r="F80" s="54">
        <v>3.5E7</v>
      </c>
      <c r="G80" s="46">
        <f t="shared" si="1"/>
        <v>12000000</v>
      </c>
      <c r="H80" s="100"/>
      <c r="I80" s="49">
        <f t="shared" si="2"/>
        <v>0.2666666667</v>
      </c>
      <c r="J80" s="50" t="s">
        <v>16</v>
      </c>
      <c r="K80" s="120"/>
    </row>
    <row r="81" ht="22.5" customHeight="1">
      <c r="A81" s="36" t="s">
        <v>746</v>
      </c>
      <c r="B81" s="113">
        <v>46148.0</v>
      </c>
      <c r="C81" s="41"/>
      <c r="D81" s="43">
        <v>2.2E7</v>
      </c>
      <c r="E81" s="54">
        <v>4.0E7</v>
      </c>
      <c r="F81" s="54">
        <v>2.5E7</v>
      </c>
      <c r="G81" s="46">
        <f t="shared" si="1"/>
        <v>3000000</v>
      </c>
      <c r="H81" s="100"/>
      <c r="I81" s="49">
        <f t="shared" si="2"/>
        <v>0.075</v>
      </c>
      <c r="J81" s="50" t="s">
        <v>16</v>
      </c>
      <c r="K81" s="120"/>
    </row>
    <row r="82" ht="22.5" customHeight="1">
      <c r="A82" s="36" t="s">
        <v>755</v>
      </c>
      <c r="B82" s="113">
        <v>46148.0</v>
      </c>
      <c r="C82" s="41"/>
      <c r="D82" s="43">
        <v>3.5E7</v>
      </c>
      <c r="E82" s="54">
        <v>4.0E7</v>
      </c>
      <c r="F82" s="54">
        <v>4.0E7</v>
      </c>
      <c r="G82" s="46">
        <f t="shared" si="1"/>
        <v>5000000</v>
      </c>
      <c r="H82" s="100"/>
      <c r="I82" s="49">
        <f t="shared" si="2"/>
        <v>0.125</v>
      </c>
      <c r="J82" s="50" t="s">
        <v>16</v>
      </c>
      <c r="K82" s="120"/>
    </row>
    <row r="83" ht="22.5" customHeight="1">
      <c r="A83" s="36" t="s">
        <v>763</v>
      </c>
      <c r="B83" s="136">
        <v>46182.0</v>
      </c>
      <c r="C83" s="54" t="s">
        <v>658</v>
      </c>
      <c r="D83" s="43">
        <v>3.0E7</v>
      </c>
      <c r="E83" s="54">
        <v>3.5E7</v>
      </c>
      <c r="F83" s="54">
        <v>3.0E7</v>
      </c>
      <c r="G83" s="46">
        <f t="shared" si="1"/>
        <v>0</v>
      </c>
      <c r="H83" s="100"/>
      <c r="I83" s="49">
        <f t="shared" si="2"/>
        <v>0</v>
      </c>
      <c r="J83" s="50" t="s">
        <v>16</v>
      </c>
      <c r="K83" s="118" t="s">
        <v>768</v>
      </c>
    </row>
    <row r="84" ht="22.5" customHeight="1">
      <c r="A84" s="36" t="s">
        <v>771</v>
      </c>
      <c r="B84" s="38">
        <v>46182.0</v>
      </c>
      <c r="C84" s="54" t="s">
        <v>772</v>
      </c>
      <c r="D84" s="43">
        <v>5.7E7</v>
      </c>
      <c r="E84" s="54">
        <v>6.0E7</v>
      </c>
      <c r="F84" s="54">
        <v>6.0E7</v>
      </c>
      <c r="G84" s="46">
        <f t="shared" si="1"/>
        <v>3000000</v>
      </c>
      <c r="H84" s="100"/>
      <c r="I84" s="49">
        <f t="shared" si="2"/>
        <v>0.05</v>
      </c>
      <c r="J84" s="50" t="s">
        <v>16</v>
      </c>
      <c r="K84" s="118" t="s">
        <v>773</v>
      </c>
    </row>
    <row r="85" ht="22.5" customHeight="1">
      <c r="A85" s="36" t="s">
        <v>776</v>
      </c>
      <c r="B85" s="73">
        <v>46184.0</v>
      </c>
      <c r="C85" s="41"/>
      <c r="D85" s="43">
        <v>3.2E7</v>
      </c>
      <c r="E85" s="54">
        <v>4.0E7</v>
      </c>
      <c r="F85" s="54">
        <v>3.8E7</v>
      </c>
      <c r="G85" s="46">
        <f t="shared" si="1"/>
        <v>6000000</v>
      </c>
      <c r="H85" s="100"/>
      <c r="I85" s="49">
        <f t="shared" si="2"/>
        <v>0.15</v>
      </c>
      <c r="J85" s="50" t="s">
        <v>16</v>
      </c>
      <c r="K85" s="120"/>
    </row>
    <row r="86" ht="22.5" customHeight="1">
      <c r="A86" s="36" t="s">
        <v>780</v>
      </c>
      <c r="B86" s="73">
        <v>46184.0</v>
      </c>
      <c r="C86" s="41"/>
      <c r="D86" s="43">
        <v>3.0E7</v>
      </c>
      <c r="E86" s="54">
        <v>5.0E7</v>
      </c>
      <c r="F86" s="54">
        <v>4.0E7</v>
      </c>
      <c r="G86" s="46">
        <f t="shared" si="1"/>
        <v>10000000</v>
      </c>
      <c r="H86" s="100"/>
      <c r="I86" s="49">
        <f t="shared" si="2"/>
        <v>0.2</v>
      </c>
      <c r="J86" s="50" t="s">
        <v>16</v>
      </c>
      <c r="K86" s="120"/>
    </row>
    <row r="87" ht="22.5" customHeight="1">
      <c r="A87" s="36" t="s">
        <v>786</v>
      </c>
      <c r="B87" s="73">
        <v>46184.0</v>
      </c>
      <c r="C87" s="68">
        <v>46275.0</v>
      </c>
      <c r="D87" s="43">
        <v>4.0E7</v>
      </c>
      <c r="E87" s="54">
        <v>5.0E7</v>
      </c>
      <c r="F87" s="54">
        <v>4.4E7</v>
      </c>
      <c r="G87" s="46">
        <f t="shared" si="1"/>
        <v>4000000</v>
      </c>
      <c r="H87" s="100"/>
      <c r="I87" s="49">
        <f t="shared" si="2"/>
        <v>0.08</v>
      </c>
      <c r="J87" s="50" t="s">
        <v>16</v>
      </c>
      <c r="K87" s="120"/>
    </row>
    <row r="88" ht="22.5" customHeight="1">
      <c r="A88" s="36" t="s">
        <v>790</v>
      </c>
      <c r="B88" s="73">
        <v>46184.0</v>
      </c>
      <c r="C88" s="54" t="s">
        <v>793</v>
      </c>
      <c r="D88" s="43">
        <v>3.6E7</v>
      </c>
      <c r="E88" s="54">
        <v>4.0E7</v>
      </c>
      <c r="F88" s="54">
        <v>3.6E7</v>
      </c>
      <c r="G88" s="46">
        <f t="shared" si="1"/>
        <v>0</v>
      </c>
      <c r="H88" s="100"/>
      <c r="I88" s="49">
        <f t="shared" si="2"/>
        <v>0</v>
      </c>
      <c r="J88" s="50" t="s">
        <v>16</v>
      </c>
      <c r="K88" s="118" t="s">
        <v>180</v>
      </c>
    </row>
    <row r="89" ht="22.5" customHeight="1">
      <c r="A89" s="36" t="s">
        <v>797</v>
      </c>
      <c r="B89" s="73">
        <v>46184.0</v>
      </c>
      <c r="C89" s="54" t="s">
        <v>308</v>
      </c>
      <c r="D89" s="43">
        <v>2.5E7</v>
      </c>
      <c r="E89" s="54">
        <v>3.0E7</v>
      </c>
      <c r="F89" s="54">
        <v>2.5E7</v>
      </c>
      <c r="G89" s="46">
        <f t="shared" si="1"/>
        <v>0</v>
      </c>
      <c r="H89" s="100"/>
      <c r="I89" s="49">
        <f t="shared" si="2"/>
        <v>0</v>
      </c>
      <c r="J89" s="50" t="s">
        <v>16</v>
      </c>
      <c r="K89" s="118" t="s">
        <v>180</v>
      </c>
    </row>
    <row r="90" ht="22.5" customHeight="1">
      <c r="A90" s="36" t="s">
        <v>801</v>
      </c>
      <c r="B90" s="73">
        <v>46184.0</v>
      </c>
      <c r="C90" s="41"/>
      <c r="D90" s="43">
        <v>2.5E7</v>
      </c>
      <c r="E90" s="54"/>
      <c r="F90" s="54"/>
      <c r="G90" s="46">
        <f t="shared" si="1"/>
        <v>-25000000</v>
      </c>
      <c r="H90" s="100"/>
      <c r="I90" s="49" t="str">
        <f t="shared" si="2"/>
        <v>#DIV/0!</v>
      </c>
      <c r="J90" s="50" t="s">
        <v>16</v>
      </c>
      <c r="K90" s="118" t="s">
        <v>803</v>
      </c>
    </row>
    <row r="91" ht="22.5" customHeight="1">
      <c r="A91" s="36" t="s">
        <v>805</v>
      </c>
      <c r="B91" s="73">
        <v>46184.0</v>
      </c>
      <c r="C91" s="68">
        <v>46283.0</v>
      </c>
      <c r="D91" s="43">
        <v>3.0E7</v>
      </c>
      <c r="E91" s="54">
        <v>4.0E7</v>
      </c>
      <c r="F91" s="54">
        <v>3.3E7</v>
      </c>
      <c r="G91" s="46">
        <f t="shared" si="1"/>
        <v>3000000</v>
      </c>
      <c r="H91" s="100"/>
      <c r="I91" s="49">
        <f t="shared" si="2"/>
        <v>0.075</v>
      </c>
      <c r="J91" s="50" t="s">
        <v>16</v>
      </c>
      <c r="K91" s="118"/>
    </row>
    <row r="92" ht="22.5" customHeight="1">
      <c r="A92" s="36" t="s">
        <v>810</v>
      </c>
      <c r="B92" s="73">
        <v>46188.0</v>
      </c>
      <c r="C92" s="54" t="s">
        <v>360</v>
      </c>
      <c r="D92" s="43">
        <v>2.5E7</v>
      </c>
      <c r="E92" s="54">
        <v>2.5E7</v>
      </c>
      <c r="F92" s="54">
        <v>2.5E7</v>
      </c>
      <c r="G92" s="46">
        <f t="shared" si="1"/>
        <v>0</v>
      </c>
      <c r="H92" s="100"/>
      <c r="I92" s="49">
        <f t="shared" si="2"/>
        <v>0</v>
      </c>
      <c r="J92" s="50" t="s">
        <v>16</v>
      </c>
      <c r="K92" s="118" t="s">
        <v>180</v>
      </c>
    </row>
    <row r="93" ht="22.5" customHeight="1">
      <c r="A93" s="36" t="s">
        <v>815</v>
      </c>
      <c r="B93" s="73">
        <v>46188.0</v>
      </c>
      <c r="C93" s="54" t="s">
        <v>793</v>
      </c>
      <c r="D93" s="43">
        <v>2.0E7</v>
      </c>
      <c r="E93" s="54">
        <v>2.5E7</v>
      </c>
      <c r="F93" s="54">
        <v>2.0E7</v>
      </c>
      <c r="G93" s="46">
        <f t="shared" si="1"/>
        <v>0</v>
      </c>
      <c r="H93" s="100"/>
      <c r="I93" s="49">
        <f t="shared" si="2"/>
        <v>0</v>
      </c>
      <c r="J93" s="50" t="s">
        <v>16</v>
      </c>
      <c r="K93" s="118" t="s">
        <v>180</v>
      </c>
    </row>
    <row r="94" ht="22.5" customHeight="1">
      <c r="A94" s="36" t="s">
        <v>820</v>
      </c>
      <c r="B94" s="73">
        <v>46188.0</v>
      </c>
      <c r="C94" s="54" t="s">
        <v>126</v>
      </c>
      <c r="D94" s="43">
        <v>2.0E7</v>
      </c>
      <c r="E94" s="54">
        <v>2.5E7</v>
      </c>
      <c r="F94" s="54">
        <v>2.25E7</v>
      </c>
      <c r="G94" s="46">
        <f t="shared" si="1"/>
        <v>2500000</v>
      </c>
      <c r="H94" s="105" t="s">
        <v>15</v>
      </c>
      <c r="I94" s="49">
        <f t="shared" si="2"/>
        <v>0.1</v>
      </c>
      <c r="J94" s="50" t="s">
        <v>16</v>
      </c>
      <c r="K94" s="120"/>
    </row>
    <row r="95" ht="22.5" customHeight="1">
      <c r="A95" s="36" t="s">
        <v>823</v>
      </c>
      <c r="B95" s="73">
        <v>46191.0</v>
      </c>
      <c r="C95" s="54" t="s">
        <v>405</v>
      </c>
      <c r="D95" s="43">
        <v>2.3E7</v>
      </c>
      <c r="E95" s="54">
        <v>2.3E7</v>
      </c>
      <c r="F95" s="54">
        <v>2.3E7</v>
      </c>
      <c r="G95" s="46">
        <f t="shared" si="1"/>
        <v>0</v>
      </c>
      <c r="H95" s="100"/>
      <c r="I95" s="49">
        <f t="shared" si="2"/>
        <v>0</v>
      </c>
      <c r="J95" s="50" t="s">
        <v>16</v>
      </c>
      <c r="K95" s="118" t="s">
        <v>180</v>
      </c>
    </row>
    <row r="96" ht="22.5" customHeight="1">
      <c r="A96" s="36" t="s">
        <v>829</v>
      </c>
      <c r="B96" s="73">
        <v>46191.0</v>
      </c>
      <c r="C96" s="54" t="s">
        <v>78</v>
      </c>
      <c r="D96" s="43">
        <v>2.0E7</v>
      </c>
      <c r="E96" s="54">
        <v>2.0E7</v>
      </c>
      <c r="F96" s="54">
        <v>2.0E7</v>
      </c>
      <c r="G96" s="46">
        <f t="shared" si="1"/>
        <v>0</v>
      </c>
      <c r="H96" s="100"/>
      <c r="I96" s="49">
        <f t="shared" si="2"/>
        <v>0</v>
      </c>
      <c r="J96" s="50" t="s">
        <v>16</v>
      </c>
      <c r="K96" s="118" t="s">
        <v>180</v>
      </c>
    </row>
    <row r="97" ht="22.5" customHeight="1">
      <c r="A97" s="36" t="s">
        <v>833</v>
      </c>
      <c r="B97" s="73">
        <v>46214.0</v>
      </c>
      <c r="C97" s="41"/>
      <c r="D97" s="43">
        <v>4.2E7</v>
      </c>
      <c r="E97" s="54">
        <v>6.0E7</v>
      </c>
      <c r="F97" s="54">
        <v>5.0E7</v>
      </c>
      <c r="G97" s="46">
        <f t="shared" si="1"/>
        <v>8000000</v>
      </c>
      <c r="H97" s="105" t="s">
        <v>38</v>
      </c>
      <c r="I97" s="49">
        <f t="shared" si="2"/>
        <v>0.1333333333</v>
      </c>
      <c r="J97" s="50" t="s">
        <v>16</v>
      </c>
      <c r="K97" s="118"/>
    </row>
    <row r="98" ht="22.5" customHeight="1">
      <c r="A98" s="36" t="s">
        <v>839</v>
      </c>
      <c r="B98" s="73">
        <v>46214.0</v>
      </c>
      <c r="C98" s="41"/>
      <c r="D98" s="43">
        <v>4.5E7</v>
      </c>
      <c r="E98" s="54"/>
      <c r="F98" s="54"/>
      <c r="G98" s="46">
        <f t="shared" si="1"/>
        <v>-45000000</v>
      </c>
      <c r="H98" s="105" t="s">
        <v>38</v>
      </c>
      <c r="I98" s="49" t="str">
        <f t="shared" si="2"/>
        <v>#DIV/0!</v>
      </c>
      <c r="J98" s="50" t="s">
        <v>16</v>
      </c>
      <c r="K98" s="118" t="s">
        <v>844</v>
      </c>
    </row>
    <row r="99" ht="22.5" customHeight="1">
      <c r="A99" s="36" t="s">
        <v>847</v>
      </c>
      <c r="B99" s="73">
        <v>46214.0</v>
      </c>
      <c r="C99" s="41"/>
      <c r="D99" s="43">
        <v>4.5E7</v>
      </c>
      <c r="E99" s="54">
        <v>6.5E7</v>
      </c>
      <c r="F99" s="54">
        <v>5.5E7</v>
      </c>
      <c r="G99" s="46">
        <f t="shared" si="1"/>
        <v>10000000</v>
      </c>
      <c r="H99" s="105" t="s">
        <v>38</v>
      </c>
      <c r="I99" s="49">
        <f t="shared" si="2"/>
        <v>0.1538461538</v>
      </c>
      <c r="J99" s="50" t="s">
        <v>16</v>
      </c>
      <c r="K99" s="118" t="s">
        <v>851</v>
      </c>
    </row>
    <row r="100" ht="22.5" customHeight="1">
      <c r="A100" s="36" t="s">
        <v>853</v>
      </c>
      <c r="B100" s="73">
        <v>46214.0</v>
      </c>
      <c r="C100" s="41"/>
      <c r="D100" s="43">
        <v>4.0E7</v>
      </c>
      <c r="E100" s="54">
        <v>4.5E7</v>
      </c>
      <c r="F100" s="54">
        <v>4.2E7</v>
      </c>
      <c r="G100" s="46">
        <f t="shared" si="1"/>
        <v>2000000</v>
      </c>
      <c r="H100" s="105" t="s">
        <v>38</v>
      </c>
      <c r="I100" s="49">
        <f t="shared" si="2"/>
        <v>0.04444444444</v>
      </c>
      <c r="J100" s="50" t="s">
        <v>16</v>
      </c>
      <c r="K100" s="118" t="s">
        <v>851</v>
      </c>
    </row>
    <row r="101" ht="22.5" customHeight="1">
      <c r="A101" s="36" t="s">
        <v>858</v>
      </c>
      <c r="B101" s="73">
        <v>46225.0</v>
      </c>
      <c r="C101" s="41"/>
      <c r="D101" s="43">
        <v>4.0E7</v>
      </c>
      <c r="E101" s="54">
        <v>6.0E7</v>
      </c>
      <c r="F101" s="54">
        <v>5.0E7</v>
      </c>
      <c r="G101" s="46">
        <f t="shared" si="1"/>
        <v>10000000</v>
      </c>
      <c r="H101" s="105" t="s">
        <v>38</v>
      </c>
      <c r="I101" s="49">
        <f t="shared" si="2"/>
        <v>0.1666666667</v>
      </c>
      <c r="J101" s="50" t="s">
        <v>16</v>
      </c>
      <c r="K101" s="118" t="s">
        <v>851</v>
      </c>
    </row>
    <row r="102" ht="22.5" customHeight="1">
      <c r="A102" s="36" t="s">
        <v>868</v>
      </c>
      <c r="B102" s="73">
        <v>46225.0</v>
      </c>
      <c r="C102" s="41"/>
      <c r="D102" s="43">
        <v>1.4E7</v>
      </c>
      <c r="E102" s="54">
        <v>1.8E7</v>
      </c>
      <c r="F102" s="54">
        <v>1.5E7</v>
      </c>
      <c r="G102" s="46">
        <f t="shared" si="1"/>
        <v>1000000</v>
      </c>
      <c r="H102" s="105" t="s">
        <v>38</v>
      </c>
      <c r="I102" s="49">
        <f t="shared" si="2"/>
        <v>0.05555555556</v>
      </c>
      <c r="J102" s="50" t="s">
        <v>16</v>
      </c>
      <c r="K102" s="118" t="s">
        <v>851</v>
      </c>
    </row>
    <row r="103" ht="22.5" customHeight="1">
      <c r="A103" s="36" t="s">
        <v>872</v>
      </c>
      <c r="B103" s="73">
        <v>46246.0</v>
      </c>
      <c r="C103" s="74">
        <v>46268.0</v>
      </c>
      <c r="D103" s="43">
        <v>2.8E7</v>
      </c>
      <c r="E103" s="54">
        <v>3.5E7</v>
      </c>
      <c r="F103" s="54">
        <v>2.8E7</v>
      </c>
      <c r="G103" s="46">
        <f t="shared" si="1"/>
        <v>0</v>
      </c>
      <c r="H103" s="100"/>
      <c r="I103" s="49">
        <f t="shared" si="2"/>
        <v>0</v>
      </c>
      <c r="J103" s="50" t="s">
        <v>16</v>
      </c>
      <c r="K103" s="118" t="s">
        <v>180</v>
      </c>
    </row>
    <row r="104" ht="22.5" customHeight="1">
      <c r="A104" s="36" t="s">
        <v>880</v>
      </c>
      <c r="B104" s="73">
        <v>46246.0</v>
      </c>
      <c r="C104" s="41"/>
      <c r="D104" s="43">
        <v>2.5E7</v>
      </c>
      <c r="E104" s="54">
        <v>3.75E7</v>
      </c>
      <c r="F104" s="54">
        <v>3.75E7</v>
      </c>
      <c r="G104" s="46">
        <f t="shared" si="1"/>
        <v>12500000</v>
      </c>
      <c r="H104" s="100"/>
      <c r="I104" s="49">
        <f t="shared" si="2"/>
        <v>0.3333333333</v>
      </c>
      <c r="J104" s="50" t="s">
        <v>16</v>
      </c>
      <c r="K104" s="118" t="s">
        <v>884</v>
      </c>
    </row>
    <row r="105" ht="22.5" customHeight="1">
      <c r="A105" s="36" t="s">
        <v>885</v>
      </c>
      <c r="B105" s="73">
        <v>46246.0</v>
      </c>
      <c r="C105" s="41"/>
      <c r="D105" s="43">
        <v>3.5E7</v>
      </c>
      <c r="E105" s="54">
        <v>4.0E7</v>
      </c>
      <c r="F105" s="54">
        <v>4.0E7</v>
      </c>
      <c r="G105" s="46">
        <f t="shared" si="1"/>
        <v>5000000</v>
      </c>
      <c r="H105" s="100"/>
      <c r="I105" s="49">
        <f t="shared" si="2"/>
        <v>0.125</v>
      </c>
      <c r="J105" s="50" t="s">
        <v>16</v>
      </c>
      <c r="K105" s="118" t="s">
        <v>888</v>
      </c>
    </row>
    <row r="106" ht="22.5" customHeight="1">
      <c r="A106" s="36" t="s">
        <v>890</v>
      </c>
      <c r="B106" s="73">
        <v>46246.0</v>
      </c>
      <c r="C106" s="41"/>
      <c r="D106" s="43">
        <v>4.5E7</v>
      </c>
      <c r="E106" s="54">
        <v>5.0E7</v>
      </c>
      <c r="F106" s="54">
        <v>5.0E7</v>
      </c>
      <c r="G106" s="46">
        <f t="shared" si="1"/>
        <v>5000000</v>
      </c>
      <c r="H106" s="100"/>
      <c r="I106" s="49">
        <f t="shared" si="2"/>
        <v>0.1</v>
      </c>
      <c r="J106" s="50" t="s">
        <v>16</v>
      </c>
      <c r="K106" s="120"/>
    </row>
    <row r="107" ht="22.5" customHeight="1">
      <c r="A107" s="36" t="s">
        <v>897</v>
      </c>
      <c r="B107" s="73">
        <v>46246.0</v>
      </c>
      <c r="C107" s="41"/>
      <c r="D107" s="43">
        <v>2.5E7</v>
      </c>
      <c r="E107" s="54">
        <v>2.5E7</v>
      </c>
      <c r="F107" s="54">
        <v>2.5E7</v>
      </c>
      <c r="G107" s="46">
        <f t="shared" si="1"/>
        <v>0</v>
      </c>
      <c r="H107" s="100"/>
      <c r="I107" s="49">
        <f t="shared" si="2"/>
        <v>0</v>
      </c>
      <c r="J107" s="50" t="s">
        <v>16</v>
      </c>
      <c r="K107" s="118" t="s">
        <v>180</v>
      </c>
    </row>
    <row r="108" ht="22.5" customHeight="1">
      <c r="A108" s="36" t="s">
        <v>902</v>
      </c>
      <c r="B108" s="73">
        <v>46246.0</v>
      </c>
      <c r="C108" s="41"/>
      <c r="D108" s="43">
        <v>1.8E7</v>
      </c>
      <c r="E108" s="54">
        <v>2.075E7</v>
      </c>
      <c r="F108" s="54">
        <v>2.075E7</v>
      </c>
      <c r="G108" s="46">
        <f t="shared" si="1"/>
        <v>2750000</v>
      </c>
      <c r="H108" s="100"/>
      <c r="I108" s="49">
        <f t="shared" si="2"/>
        <v>0.1325301205</v>
      </c>
      <c r="J108" s="50" t="s">
        <v>16</v>
      </c>
      <c r="K108" s="118" t="s">
        <v>907</v>
      </c>
    </row>
    <row r="109" ht="22.5" customHeight="1">
      <c r="A109" s="36" t="s">
        <v>908</v>
      </c>
      <c r="B109" s="73">
        <v>46246.0</v>
      </c>
      <c r="C109" s="41"/>
      <c r="D109" s="43">
        <v>2.6E7</v>
      </c>
      <c r="E109" s="54"/>
      <c r="F109" s="54"/>
      <c r="G109" s="46">
        <f t="shared" si="1"/>
        <v>-26000000</v>
      </c>
      <c r="H109" s="100"/>
      <c r="I109" s="49" t="str">
        <f t="shared" si="2"/>
        <v>#DIV/0!</v>
      </c>
      <c r="J109" s="50" t="s">
        <v>16</v>
      </c>
      <c r="K109" s="118" t="s">
        <v>913</v>
      </c>
    </row>
    <row r="110" ht="22.5" customHeight="1">
      <c r="A110" s="36" t="s">
        <v>914</v>
      </c>
      <c r="B110" s="73">
        <v>46246.0</v>
      </c>
      <c r="C110" s="41"/>
      <c r="D110" s="43">
        <v>1.3E7</v>
      </c>
      <c r="E110" s="54">
        <v>1.5E7</v>
      </c>
      <c r="F110" s="54">
        <v>1.5E7</v>
      </c>
      <c r="G110" s="46">
        <f t="shared" si="1"/>
        <v>2000000</v>
      </c>
      <c r="H110" s="100"/>
      <c r="I110" s="49">
        <f t="shared" si="2"/>
        <v>0.1333333333</v>
      </c>
      <c r="J110" s="50" t="s">
        <v>16</v>
      </c>
      <c r="K110" s="118"/>
    </row>
    <row r="111" ht="22.5" customHeight="1">
      <c r="A111" s="36" t="s">
        <v>920</v>
      </c>
      <c r="B111" s="73">
        <v>46246.0</v>
      </c>
      <c r="C111" s="41"/>
      <c r="D111" s="43">
        <v>7.0E7</v>
      </c>
      <c r="E111" s="54">
        <v>7.0E7</v>
      </c>
      <c r="F111" s="54">
        <v>7.0E7</v>
      </c>
      <c r="G111" s="46">
        <f t="shared" si="1"/>
        <v>0</v>
      </c>
      <c r="H111" s="100"/>
      <c r="I111" s="49">
        <f t="shared" si="2"/>
        <v>0</v>
      </c>
      <c r="J111" s="50" t="s">
        <v>16</v>
      </c>
      <c r="K111" s="118" t="s">
        <v>180</v>
      </c>
    </row>
    <row r="112" ht="22.5" customHeight="1">
      <c r="A112" s="36" t="s">
        <v>927</v>
      </c>
      <c r="B112" s="73">
        <v>46246.0</v>
      </c>
      <c r="C112" s="54" t="s">
        <v>628</v>
      </c>
      <c r="D112" s="43">
        <v>8000000.0</v>
      </c>
      <c r="E112" s="54">
        <v>8000000.0</v>
      </c>
      <c r="F112" s="54">
        <v>8000000.0</v>
      </c>
      <c r="G112" s="46">
        <f t="shared" si="1"/>
        <v>0</v>
      </c>
      <c r="H112" s="105" t="s">
        <v>15</v>
      </c>
      <c r="I112" s="49">
        <f t="shared" si="2"/>
        <v>0</v>
      </c>
      <c r="J112" s="50" t="s">
        <v>16</v>
      </c>
      <c r="K112" s="118" t="s">
        <v>180</v>
      </c>
    </row>
    <row r="113" ht="22.5" customHeight="1">
      <c r="A113" s="36" t="s">
        <v>936</v>
      </c>
      <c r="B113" s="73">
        <v>46246.0</v>
      </c>
      <c r="C113" s="74">
        <v>46266.0</v>
      </c>
      <c r="D113" s="43">
        <v>4.5E7</v>
      </c>
      <c r="E113" s="54">
        <v>4.5E7</v>
      </c>
      <c r="F113" s="54">
        <v>4.5E7</v>
      </c>
      <c r="G113" s="46">
        <f t="shared" si="1"/>
        <v>0</v>
      </c>
      <c r="H113" s="100"/>
      <c r="I113" s="49">
        <f t="shared" si="2"/>
        <v>0</v>
      </c>
      <c r="J113" s="50" t="s">
        <v>16</v>
      </c>
      <c r="K113" s="118" t="s">
        <v>180</v>
      </c>
    </row>
    <row r="114" ht="22.5" customHeight="1">
      <c r="A114" s="38" t="s">
        <v>940</v>
      </c>
      <c r="B114" s="136">
        <v>46265.0</v>
      </c>
      <c r="C114" s="68">
        <v>46283.0</v>
      </c>
      <c r="D114" s="141">
        <v>4.8E7</v>
      </c>
      <c r="E114" s="54">
        <v>4.8E7</v>
      </c>
      <c r="F114" s="54">
        <v>4.8E7</v>
      </c>
      <c r="G114" s="41">
        <f t="shared" si="1"/>
        <v>0</v>
      </c>
      <c r="H114" s="144" t="s">
        <v>15</v>
      </c>
      <c r="I114" s="145">
        <f t="shared" si="2"/>
        <v>0</v>
      </c>
      <c r="J114" s="39" t="s">
        <v>16</v>
      </c>
      <c r="K114" s="146" t="s">
        <v>948</v>
      </c>
    </row>
    <row r="115" ht="22.5" customHeight="1">
      <c r="A115" s="38" t="s">
        <v>951</v>
      </c>
      <c r="B115" s="136">
        <v>46265.0</v>
      </c>
      <c r="C115" s="41"/>
      <c r="D115" s="141">
        <v>5.7E7</v>
      </c>
      <c r="E115" s="54">
        <v>0.0</v>
      </c>
      <c r="F115" s="54">
        <v>0.0</v>
      </c>
      <c r="G115" s="41">
        <f t="shared" si="1"/>
        <v>-57000000</v>
      </c>
      <c r="H115" s="144" t="s">
        <v>24</v>
      </c>
      <c r="I115" s="145" t="str">
        <f t="shared" si="2"/>
        <v>#DIV/0!</v>
      </c>
      <c r="J115" s="39" t="s">
        <v>16</v>
      </c>
      <c r="K115" s="146" t="s">
        <v>954</v>
      </c>
    </row>
    <row r="116" ht="22.5" customHeight="1">
      <c r="A116" s="38" t="s">
        <v>956</v>
      </c>
      <c r="B116" s="136">
        <v>46265.0</v>
      </c>
      <c r="C116" s="41"/>
      <c r="D116" s="141">
        <v>4.73E7</v>
      </c>
      <c r="E116" s="54"/>
      <c r="F116" s="54"/>
      <c r="G116" s="41">
        <f t="shared" si="1"/>
        <v>-47300000</v>
      </c>
      <c r="H116" s="144" t="s">
        <v>38</v>
      </c>
      <c r="I116" s="145" t="str">
        <f t="shared" si="2"/>
        <v>#DIV/0!</v>
      </c>
      <c r="J116" s="39" t="s">
        <v>16</v>
      </c>
      <c r="K116" s="146" t="s">
        <v>964</v>
      </c>
    </row>
    <row r="117" ht="22.5" customHeight="1">
      <c r="A117" s="38" t="s">
        <v>967</v>
      </c>
      <c r="B117" s="136">
        <v>46265.0</v>
      </c>
      <c r="C117" s="41"/>
      <c r="D117" s="141">
        <v>3.0E7</v>
      </c>
      <c r="E117" s="54">
        <v>0.0</v>
      </c>
      <c r="F117" s="54">
        <v>0.0</v>
      </c>
      <c r="G117" s="41">
        <f t="shared" si="1"/>
        <v>-30000000</v>
      </c>
      <c r="H117" s="144" t="s">
        <v>24</v>
      </c>
      <c r="I117" s="145" t="str">
        <f t="shared" si="2"/>
        <v>#DIV/0!</v>
      </c>
      <c r="J117" s="39" t="s">
        <v>16</v>
      </c>
      <c r="K117" s="146" t="s">
        <v>954</v>
      </c>
    </row>
    <row r="118" ht="22.5" customHeight="1">
      <c r="A118" s="38" t="s">
        <v>977</v>
      </c>
      <c r="B118" s="136">
        <v>46265.0</v>
      </c>
      <c r="C118" s="41"/>
      <c r="D118" s="141">
        <v>7.1E7</v>
      </c>
      <c r="E118" s="54">
        <v>0.0</v>
      </c>
      <c r="F118" s="54">
        <v>0.0</v>
      </c>
      <c r="G118" s="41">
        <f t="shared" si="1"/>
        <v>-71000000</v>
      </c>
      <c r="H118" s="144" t="s">
        <v>24</v>
      </c>
      <c r="I118" s="145" t="str">
        <f t="shared" si="2"/>
        <v>#DIV/0!</v>
      </c>
      <c r="J118" s="39" t="s">
        <v>16</v>
      </c>
      <c r="K118" s="146" t="s">
        <v>954</v>
      </c>
    </row>
    <row r="119" ht="22.5" customHeight="1">
      <c r="A119" s="38" t="s">
        <v>989</v>
      </c>
      <c r="B119" s="136">
        <v>46265.0</v>
      </c>
      <c r="C119" s="41"/>
      <c r="D119" s="141">
        <v>3.5E7</v>
      </c>
      <c r="E119" s="54">
        <v>0.0</v>
      </c>
      <c r="F119" s="54">
        <v>0.0</v>
      </c>
      <c r="G119" s="41">
        <f t="shared" si="1"/>
        <v>-35000000</v>
      </c>
      <c r="H119" s="144" t="s">
        <v>24</v>
      </c>
      <c r="I119" s="145" t="str">
        <f t="shared" si="2"/>
        <v>#DIV/0!</v>
      </c>
      <c r="J119" s="39" t="s">
        <v>16</v>
      </c>
      <c r="K119" s="146" t="s">
        <v>954</v>
      </c>
    </row>
    <row r="120" ht="22.5" customHeight="1">
      <c r="A120" s="38" t="s">
        <v>1006</v>
      </c>
      <c r="B120" s="136">
        <v>46265.0</v>
      </c>
      <c r="C120" s="41"/>
      <c r="D120" s="141">
        <v>3.5E7</v>
      </c>
      <c r="E120" s="54">
        <v>0.0</v>
      </c>
      <c r="F120" s="54">
        <v>0.0</v>
      </c>
      <c r="G120" s="41">
        <f t="shared" si="1"/>
        <v>-35000000</v>
      </c>
      <c r="H120" s="144" t="s">
        <v>24</v>
      </c>
      <c r="I120" s="145" t="str">
        <f t="shared" si="2"/>
        <v>#DIV/0!</v>
      </c>
      <c r="J120" s="39" t="s">
        <v>16</v>
      </c>
      <c r="K120" s="146" t="s">
        <v>954</v>
      </c>
    </row>
    <row r="121" ht="22.5" customHeight="1">
      <c r="A121" s="38" t="s">
        <v>1013</v>
      </c>
      <c r="B121" s="136">
        <v>46265.0</v>
      </c>
      <c r="C121" s="41"/>
      <c r="D121" s="141">
        <v>5.0E7</v>
      </c>
      <c r="E121" s="54"/>
      <c r="F121" s="54"/>
      <c r="G121" s="41">
        <f t="shared" si="1"/>
        <v>-50000000</v>
      </c>
      <c r="H121" s="144" t="s">
        <v>38</v>
      </c>
      <c r="I121" s="145" t="str">
        <f t="shared" si="2"/>
        <v>#DIV/0!</v>
      </c>
      <c r="J121" s="39" t="s">
        <v>16</v>
      </c>
      <c r="K121" s="146" t="s">
        <v>964</v>
      </c>
    </row>
    <row r="122" ht="22.5" customHeight="1">
      <c r="A122" s="38" t="s">
        <v>1024</v>
      </c>
      <c r="B122" s="136">
        <v>46265.0</v>
      </c>
      <c r="C122" s="41"/>
      <c r="D122" s="141">
        <v>3.0E7</v>
      </c>
      <c r="E122" s="54"/>
      <c r="F122" s="54"/>
      <c r="G122" s="41">
        <f t="shared" si="1"/>
        <v>-30000000</v>
      </c>
      <c r="H122" s="144" t="s">
        <v>38</v>
      </c>
      <c r="I122" s="145" t="str">
        <f t="shared" si="2"/>
        <v>#DIV/0!</v>
      </c>
      <c r="J122" s="39" t="s">
        <v>16</v>
      </c>
      <c r="K122" s="146" t="s">
        <v>964</v>
      </c>
    </row>
    <row r="123" ht="22.5" customHeight="1">
      <c r="A123" s="38" t="s">
        <v>1034</v>
      </c>
      <c r="B123" s="136">
        <v>46265.0</v>
      </c>
      <c r="C123" s="41"/>
      <c r="D123" s="141">
        <v>5.2E7</v>
      </c>
      <c r="E123" s="54"/>
      <c r="F123" s="54"/>
      <c r="G123" s="41">
        <f t="shared" si="1"/>
        <v>-52000000</v>
      </c>
      <c r="H123" s="144" t="s">
        <v>38</v>
      </c>
      <c r="I123" s="145" t="str">
        <f t="shared" si="2"/>
        <v>#DIV/0!</v>
      </c>
      <c r="J123" s="39" t="s">
        <v>16</v>
      </c>
      <c r="K123" s="146" t="s">
        <v>964</v>
      </c>
    </row>
    <row r="124" ht="22.5" customHeight="1">
      <c r="A124" s="38" t="s">
        <v>1040</v>
      </c>
      <c r="B124" s="136">
        <v>46265.0</v>
      </c>
      <c r="C124" s="41"/>
      <c r="D124" s="141">
        <v>3.5E7</v>
      </c>
      <c r="E124" s="54"/>
      <c r="F124" s="54"/>
      <c r="G124" s="41">
        <f t="shared" si="1"/>
        <v>-35000000</v>
      </c>
      <c r="H124" s="144" t="s">
        <v>38</v>
      </c>
      <c r="I124" s="145" t="str">
        <f t="shared" si="2"/>
        <v>#DIV/0!</v>
      </c>
      <c r="J124" s="39" t="s">
        <v>16</v>
      </c>
      <c r="K124" s="146" t="s">
        <v>964</v>
      </c>
    </row>
    <row r="125" ht="22.5" customHeight="1">
      <c r="A125" s="38" t="s">
        <v>1047</v>
      </c>
      <c r="B125" s="136">
        <v>46265.0</v>
      </c>
      <c r="C125" s="68">
        <v>46282.0</v>
      </c>
      <c r="D125" s="141">
        <v>2.6E7</v>
      </c>
      <c r="E125" s="54">
        <v>2.6E7</v>
      </c>
      <c r="F125" s="54">
        <v>2.6E7</v>
      </c>
      <c r="G125" s="41">
        <f t="shared" si="1"/>
        <v>0</v>
      </c>
      <c r="H125" s="144" t="s">
        <v>15</v>
      </c>
      <c r="I125" s="145">
        <f t="shared" si="2"/>
        <v>0</v>
      </c>
      <c r="J125" s="39" t="s">
        <v>16</v>
      </c>
      <c r="K125" s="146" t="s">
        <v>948</v>
      </c>
    </row>
    <row r="126" ht="22.5" customHeight="1">
      <c r="A126" s="38" t="s">
        <v>1052</v>
      </c>
      <c r="B126" s="136">
        <v>46265.0</v>
      </c>
      <c r="C126" s="41"/>
      <c r="D126" s="141">
        <v>4.3E7</v>
      </c>
      <c r="E126" s="54">
        <v>0.0</v>
      </c>
      <c r="F126" s="54">
        <v>0.0</v>
      </c>
      <c r="G126" s="41">
        <f t="shared" si="1"/>
        <v>-43000000</v>
      </c>
      <c r="H126" s="144" t="s">
        <v>24</v>
      </c>
      <c r="I126" s="145" t="str">
        <f t="shared" si="2"/>
        <v>#DIV/0!</v>
      </c>
      <c r="J126" s="39" t="s">
        <v>16</v>
      </c>
      <c r="K126" s="146" t="s">
        <v>954</v>
      </c>
    </row>
    <row r="127" ht="22.5" customHeight="1">
      <c r="A127" s="38" t="s">
        <v>1059</v>
      </c>
      <c r="B127" s="136">
        <v>46265.0</v>
      </c>
      <c r="C127" s="41"/>
      <c r="D127" s="141">
        <v>2.75E7</v>
      </c>
      <c r="E127" s="54">
        <v>0.0</v>
      </c>
      <c r="F127" s="54">
        <v>0.0</v>
      </c>
      <c r="G127" s="41">
        <f t="shared" si="1"/>
        <v>-27500000</v>
      </c>
      <c r="H127" s="144" t="s">
        <v>24</v>
      </c>
      <c r="I127" s="145" t="str">
        <f t="shared" si="2"/>
        <v>#DIV/0!</v>
      </c>
      <c r="J127" s="39" t="s">
        <v>16</v>
      </c>
      <c r="K127" s="146" t="s">
        <v>954</v>
      </c>
    </row>
    <row r="128" ht="22.5" customHeight="1">
      <c r="A128" s="38" t="s">
        <v>1067</v>
      </c>
      <c r="B128" s="136">
        <v>46265.0</v>
      </c>
      <c r="C128" s="41"/>
      <c r="D128" s="141">
        <v>3.5E7</v>
      </c>
      <c r="E128" s="54">
        <v>3.5E7</v>
      </c>
      <c r="F128" s="54">
        <v>3.5E7</v>
      </c>
      <c r="G128" s="41">
        <f t="shared" si="1"/>
        <v>0</v>
      </c>
      <c r="H128" s="144" t="s">
        <v>15</v>
      </c>
      <c r="I128" s="145">
        <f t="shared" si="2"/>
        <v>0</v>
      </c>
      <c r="J128" s="39" t="s">
        <v>16</v>
      </c>
      <c r="K128" s="146" t="s">
        <v>948</v>
      </c>
    </row>
    <row r="129" ht="22.5" customHeight="1">
      <c r="A129" s="38" t="s">
        <v>1075</v>
      </c>
      <c r="B129" s="136">
        <v>46265.0</v>
      </c>
      <c r="C129" s="41"/>
      <c r="D129" s="141">
        <v>8.0E7</v>
      </c>
      <c r="E129" s="54"/>
      <c r="F129" s="54"/>
      <c r="G129" s="41">
        <f t="shared" si="1"/>
        <v>-80000000</v>
      </c>
      <c r="H129" s="144" t="s">
        <v>24</v>
      </c>
      <c r="I129" s="145" t="str">
        <f t="shared" si="2"/>
        <v>#DIV/0!</v>
      </c>
      <c r="J129" s="39" t="s">
        <v>16</v>
      </c>
      <c r="K129" s="146" t="s">
        <v>954</v>
      </c>
    </row>
    <row r="130" ht="22.5" customHeight="1">
      <c r="A130" s="38" t="s">
        <v>1080</v>
      </c>
      <c r="B130" s="136">
        <v>46265.0</v>
      </c>
      <c r="C130" s="41"/>
      <c r="D130" s="141">
        <v>5.0E7</v>
      </c>
      <c r="E130" s="54"/>
      <c r="F130" s="54"/>
      <c r="G130" s="41">
        <f t="shared" si="1"/>
        <v>-50000000</v>
      </c>
      <c r="H130" s="144" t="s">
        <v>38</v>
      </c>
      <c r="I130" s="145" t="str">
        <f t="shared" si="2"/>
        <v>#DIV/0!</v>
      </c>
      <c r="J130" s="39" t="s">
        <v>16</v>
      </c>
      <c r="K130" s="146" t="s">
        <v>964</v>
      </c>
    </row>
    <row r="131" ht="22.5" customHeight="1">
      <c r="A131" s="38" t="s">
        <v>1086</v>
      </c>
      <c r="B131" s="136">
        <v>46265.0</v>
      </c>
      <c r="C131" s="41"/>
      <c r="D131" s="141">
        <v>7.0E7</v>
      </c>
      <c r="E131" s="54">
        <v>7.0E7</v>
      </c>
      <c r="F131" s="54">
        <v>7.0E7</v>
      </c>
      <c r="G131" s="41">
        <f t="shared" si="1"/>
        <v>0</v>
      </c>
      <c r="H131" s="144" t="s">
        <v>15</v>
      </c>
      <c r="I131" s="145">
        <f t="shared" si="2"/>
        <v>0</v>
      </c>
      <c r="J131" s="39" t="s">
        <v>16</v>
      </c>
      <c r="K131" s="146" t="s">
        <v>948</v>
      </c>
    </row>
    <row r="132" ht="22.5" customHeight="1">
      <c r="A132" s="38" t="s">
        <v>1092</v>
      </c>
      <c r="B132" s="136">
        <v>46265.0</v>
      </c>
      <c r="C132" s="68">
        <v>46283.0</v>
      </c>
      <c r="D132" s="141">
        <v>4.5E7</v>
      </c>
      <c r="E132" s="54">
        <v>4.5E7</v>
      </c>
      <c r="F132" s="54">
        <v>4.5E7</v>
      </c>
      <c r="G132" s="41">
        <f t="shared" si="1"/>
        <v>0</v>
      </c>
      <c r="H132" s="144" t="s">
        <v>15</v>
      </c>
      <c r="I132" s="145">
        <f t="shared" si="2"/>
        <v>0</v>
      </c>
      <c r="J132" s="39" t="s">
        <v>16</v>
      </c>
      <c r="K132" s="146" t="s">
        <v>1110</v>
      </c>
    </row>
    <row r="133" ht="22.5" customHeight="1">
      <c r="A133" s="38" t="s">
        <v>1113</v>
      </c>
      <c r="B133" s="136">
        <v>46265.0</v>
      </c>
      <c r="C133" s="41"/>
      <c r="D133" s="141">
        <v>5.4E7</v>
      </c>
      <c r="E133" s="54"/>
      <c r="F133" s="54"/>
      <c r="G133" s="41">
        <f t="shared" si="1"/>
        <v>-54000000</v>
      </c>
      <c r="H133" s="144" t="s">
        <v>38</v>
      </c>
      <c r="I133" s="145" t="str">
        <f t="shared" si="2"/>
        <v>#DIV/0!</v>
      </c>
      <c r="J133" s="39" t="s">
        <v>16</v>
      </c>
      <c r="K133" s="146" t="s">
        <v>964</v>
      </c>
    </row>
    <row r="134" ht="22.5" customHeight="1">
      <c r="A134" s="38" t="s">
        <v>1122</v>
      </c>
      <c r="B134" s="136">
        <v>46265.0</v>
      </c>
      <c r="C134" s="41"/>
      <c r="D134" s="141">
        <v>7.6E7</v>
      </c>
      <c r="E134" s="54">
        <v>0.0</v>
      </c>
      <c r="F134" s="54">
        <v>0.0</v>
      </c>
      <c r="G134" s="41">
        <f t="shared" si="1"/>
        <v>-76000000</v>
      </c>
      <c r="H134" s="144" t="s">
        <v>24</v>
      </c>
      <c r="I134" s="145" t="str">
        <f t="shared" si="2"/>
        <v>#DIV/0!</v>
      </c>
      <c r="J134" s="39" t="s">
        <v>16</v>
      </c>
      <c r="K134" s="146" t="s">
        <v>954</v>
      </c>
    </row>
    <row r="135" ht="22.5" customHeight="1">
      <c r="A135" s="36" t="s">
        <v>1128</v>
      </c>
      <c r="B135" s="73">
        <v>46275.0</v>
      </c>
      <c r="C135" s="41"/>
      <c r="D135" s="43">
        <v>3.8E7</v>
      </c>
      <c r="E135" s="54">
        <v>5.0E7</v>
      </c>
      <c r="F135" s="54">
        <v>4.5E7</v>
      </c>
      <c r="G135" s="41">
        <f t="shared" si="1"/>
        <v>7000000</v>
      </c>
      <c r="H135" s="155"/>
      <c r="I135" s="145">
        <f t="shared" si="2"/>
        <v>0.14</v>
      </c>
      <c r="J135" s="39" t="s">
        <v>16</v>
      </c>
      <c r="K135" s="156"/>
    </row>
    <row r="136" ht="22.5" customHeight="1">
      <c r="A136" s="36" t="s">
        <v>1162</v>
      </c>
      <c r="B136" s="73">
        <v>46275.0</v>
      </c>
      <c r="C136" s="41"/>
      <c r="D136" s="43">
        <v>5.0E7</v>
      </c>
      <c r="E136" s="54">
        <v>6.5E7</v>
      </c>
      <c r="F136" s="54">
        <v>6.0E7</v>
      </c>
      <c r="G136" s="46">
        <f t="shared" si="1"/>
        <v>10000000</v>
      </c>
      <c r="H136" s="100"/>
      <c r="I136" s="49">
        <f t="shared" si="2"/>
        <v>0.1538461538</v>
      </c>
      <c r="J136" s="39" t="s">
        <v>16</v>
      </c>
      <c r="K136" s="120"/>
    </row>
    <row r="137" ht="22.5" customHeight="1">
      <c r="A137" s="36" t="s">
        <v>1169</v>
      </c>
      <c r="B137" s="73">
        <v>46275.0</v>
      </c>
      <c r="C137" s="41"/>
      <c r="D137" s="43">
        <v>5.0E7</v>
      </c>
      <c r="E137" s="54">
        <v>5.5E7</v>
      </c>
      <c r="F137" s="54">
        <v>5.5E7</v>
      </c>
      <c r="G137" s="46">
        <f t="shared" si="1"/>
        <v>5000000</v>
      </c>
      <c r="H137" s="100"/>
      <c r="I137" s="49">
        <f t="shared" si="2"/>
        <v>0.09090909091</v>
      </c>
      <c r="J137" s="39" t="s">
        <v>16</v>
      </c>
      <c r="K137" s="120"/>
    </row>
    <row r="138" ht="22.5" customHeight="1">
      <c r="A138" s="36" t="s">
        <v>1174</v>
      </c>
      <c r="B138" s="73">
        <v>46275.0</v>
      </c>
      <c r="C138" s="41"/>
      <c r="D138" s="43">
        <v>8.5E7</v>
      </c>
      <c r="E138" s="54">
        <v>8.5E7</v>
      </c>
      <c r="F138" s="54">
        <v>8.5E7</v>
      </c>
      <c r="G138" s="46">
        <f t="shared" si="1"/>
        <v>0</v>
      </c>
      <c r="H138" s="100"/>
      <c r="I138" s="49">
        <f t="shared" si="2"/>
        <v>0</v>
      </c>
      <c r="J138" s="39" t="s">
        <v>16</v>
      </c>
      <c r="K138" s="118" t="s">
        <v>180</v>
      </c>
    </row>
    <row r="139" ht="22.5" customHeight="1">
      <c r="A139" s="36" t="s">
        <v>1185</v>
      </c>
      <c r="B139" s="73">
        <v>46275.0</v>
      </c>
      <c r="C139" s="41"/>
      <c r="D139" s="43">
        <v>5.9E7</v>
      </c>
      <c r="E139" s="54">
        <v>6.4E7</v>
      </c>
      <c r="F139" s="54">
        <v>6.4E7</v>
      </c>
      <c r="G139" s="46">
        <f t="shared" si="1"/>
        <v>5000000</v>
      </c>
      <c r="H139" s="100"/>
      <c r="I139" s="49">
        <f t="shared" si="2"/>
        <v>0.078125</v>
      </c>
      <c r="J139" s="39" t="s">
        <v>16</v>
      </c>
      <c r="K139" s="118"/>
    </row>
    <row r="140" ht="22.5" customHeight="1">
      <c r="A140" s="36" t="s">
        <v>1190</v>
      </c>
      <c r="B140" s="73">
        <v>46282.0</v>
      </c>
      <c r="C140" s="41"/>
      <c r="D140" s="54">
        <v>3.5E7</v>
      </c>
      <c r="E140" s="54">
        <v>5.0E7</v>
      </c>
      <c r="F140" s="54">
        <v>5.0E7</v>
      </c>
      <c r="G140" s="46">
        <f t="shared" si="1"/>
        <v>15000000</v>
      </c>
      <c r="H140" s="100"/>
      <c r="I140" s="49">
        <f t="shared" si="2"/>
        <v>0.3</v>
      </c>
      <c r="J140" s="50" t="s">
        <v>16</v>
      </c>
      <c r="K140" s="120"/>
    </row>
    <row r="141" ht="22.5" customHeight="1">
      <c r="A141" s="36" t="s">
        <v>1197</v>
      </c>
      <c r="B141" s="73">
        <v>46283.0</v>
      </c>
      <c r="C141" s="41"/>
      <c r="D141" s="54">
        <v>2.5E7</v>
      </c>
      <c r="E141" s="54">
        <v>2.5E7</v>
      </c>
      <c r="F141" s="54">
        <v>2.5E7</v>
      </c>
      <c r="G141" s="46">
        <f t="shared" si="1"/>
        <v>0</v>
      </c>
      <c r="H141" s="100"/>
      <c r="I141" s="49">
        <f t="shared" si="2"/>
        <v>0</v>
      </c>
      <c r="J141" s="50" t="s">
        <v>16</v>
      </c>
      <c r="K141" s="118" t="s">
        <v>180</v>
      </c>
    </row>
    <row r="142" ht="22.5" customHeight="1">
      <c r="A142" s="36" t="s">
        <v>1207</v>
      </c>
      <c r="B142" s="73">
        <v>46288.0</v>
      </c>
      <c r="C142" s="41"/>
      <c r="D142" s="43">
        <v>2.3E7</v>
      </c>
      <c r="E142" s="54">
        <v>2.5E7</v>
      </c>
      <c r="F142" s="54">
        <v>2.5E7</v>
      </c>
      <c r="G142" s="46">
        <f t="shared" si="1"/>
        <v>2000000</v>
      </c>
      <c r="H142" s="100"/>
      <c r="I142" s="49">
        <f t="shared" si="2"/>
        <v>0.08</v>
      </c>
      <c r="J142" s="50" t="s">
        <v>16</v>
      </c>
      <c r="K142" s="120"/>
    </row>
    <row r="143" ht="22.5" customHeight="1">
      <c r="A143" s="36" t="s">
        <v>1212</v>
      </c>
      <c r="B143" s="73">
        <v>46288.0</v>
      </c>
      <c r="C143" s="41"/>
      <c r="D143" s="43">
        <v>4.0E7</v>
      </c>
      <c r="E143" s="54">
        <v>4.0E7</v>
      </c>
      <c r="F143" s="54">
        <v>4.0E7</v>
      </c>
      <c r="G143" s="46">
        <f t="shared" si="1"/>
        <v>0</v>
      </c>
      <c r="H143" s="100"/>
      <c r="I143" s="49">
        <f t="shared" si="2"/>
        <v>0</v>
      </c>
      <c r="J143" s="50" t="s">
        <v>16</v>
      </c>
      <c r="K143" s="118" t="s">
        <v>180</v>
      </c>
    </row>
    <row r="144" ht="22.5" customHeight="1">
      <c r="A144" s="36" t="s">
        <v>612</v>
      </c>
      <c r="B144" s="73">
        <v>46288.0</v>
      </c>
      <c r="C144" s="41"/>
      <c r="D144" s="43">
        <v>2.0E7</v>
      </c>
      <c r="E144" s="54">
        <v>2.0E7</v>
      </c>
      <c r="F144" s="54">
        <v>2.0E7</v>
      </c>
      <c r="G144" s="46">
        <f t="shared" si="1"/>
        <v>0</v>
      </c>
      <c r="H144" s="100"/>
      <c r="I144" s="49">
        <f t="shared" si="2"/>
        <v>0</v>
      </c>
      <c r="J144" s="50" t="s">
        <v>16</v>
      </c>
      <c r="K144" s="118" t="s">
        <v>180</v>
      </c>
    </row>
    <row r="145" ht="22.5" customHeight="1">
      <c r="A145" s="159"/>
      <c r="B145" s="160"/>
      <c r="C145" s="41"/>
      <c r="D145" s="41"/>
      <c r="E145" s="54"/>
      <c r="F145" s="54"/>
      <c r="G145" s="46">
        <f t="shared" si="1"/>
        <v>0</v>
      </c>
      <c r="H145" s="100"/>
      <c r="I145" s="49" t="str">
        <f t="shared" si="2"/>
        <v>#DIV/0!</v>
      </c>
      <c r="J145" s="50"/>
      <c r="K145" s="120"/>
    </row>
    <row r="146" ht="22.5" customHeight="1">
      <c r="A146" s="159"/>
      <c r="B146" s="160"/>
      <c r="C146" s="41"/>
      <c r="D146" s="41"/>
      <c r="E146" s="54"/>
      <c r="F146" s="54"/>
      <c r="G146" s="46">
        <f t="shared" si="1"/>
        <v>0</v>
      </c>
      <c r="H146" s="100"/>
      <c r="I146" s="49" t="str">
        <f t="shared" si="2"/>
        <v>#DIV/0!</v>
      </c>
      <c r="J146" s="50"/>
      <c r="K146" s="120"/>
    </row>
    <row r="147" ht="22.5" customHeight="1">
      <c r="A147" s="159"/>
      <c r="B147" s="160"/>
      <c r="C147" s="41"/>
      <c r="D147" s="41"/>
      <c r="E147" s="54"/>
      <c r="F147" s="54"/>
      <c r="G147" s="46">
        <f t="shared" si="1"/>
        <v>0</v>
      </c>
      <c r="H147" s="100"/>
      <c r="I147" s="49" t="str">
        <f t="shared" si="2"/>
        <v>#DIV/0!</v>
      </c>
      <c r="J147" s="50"/>
      <c r="K147" s="120"/>
    </row>
    <row r="148" ht="22.5" customHeight="1">
      <c r="A148" s="159"/>
      <c r="B148" s="160"/>
      <c r="C148" s="41"/>
      <c r="D148" s="41"/>
      <c r="E148" s="54"/>
      <c r="F148" s="54"/>
      <c r="G148" s="46">
        <f t="shared" si="1"/>
        <v>0</v>
      </c>
      <c r="H148" s="100"/>
      <c r="I148" s="49" t="str">
        <f t="shared" si="2"/>
        <v>#DIV/0!</v>
      </c>
      <c r="J148" s="50"/>
      <c r="K148" s="120"/>
    </row>
    <row r="149" ht="22.5" customHeight="1">
      <c r="A149" s="159"/>
      <c r="B149" s="160"/>
      <c r="C149" s="41"/>
      <c r="D149" s="41"/>
      <c r="E149" s="54"/>
      <c r="F149" s="54"/>
      <c r="G149" s="46">
        <f t="shared" si="1"/>
        <v>0</v>
      </c>
      <c r="H149" s="100"/>
      <c r="I149" s="49" t="str">
        <f t="shared" si="2"/>
        <v>#DIV/0!</v>
      </c>
      <c r="J149" s="50"/>
      <c r="K149" s="120"/>
    </row>
    <row r="150" ht="22.5" customHeight="1">
      <c r="A150" s="159"/>
      <c r="B150" s="160"/>
      <c r="C150" s="41"/>
      <c r="D150" s="41"/>
      <c r="E150" s="54"/>
      <c r="F150" s="54"/>
      <c r="G150" s="46">
        <f t="shared" si="1"/>
        <v>0</v>
      </c>
      <c r="H150" s="100"/>
      <c r="I150" s="162"/>
      <c r="J150" s="50"/>
      <c r="K150" s="120"/>
    </row>
    <row r="151" ht="22.5" customHeight="1">
      <c r="A151" s="159"/>
      <c r="B151" s="160"/>
      <c r="C151" s="41"/>
      <c r="D151" s="41"/>
      <c r="E151" s="54"/>
      <c r="F151" s="54"/>
      <c r="G151" s="46">
        <f t="shared" si="1"/>
        <v>0</v>
      </c>
      <c r="H151" s="100"/>
      <c r="I151" s="162"/>
      <c r="J151" s="50"/>
      <c r="K151" s="120"/>
    </row>
    <row r="152" ht="22.5" customHeight="1">
      <c r="A152" s="159"/>
      <c r="B152" s="160"/>
      <c r="C152" s="41"/>
      <c r="D152" s="41"/>
      <c r="E152" s="54"/>
      <c r="F152" s="54"/>
      <c r="G152" s="46">
        <f t="shared" si="1"/>
        <v>0</v>
      </c>
      <c r="H152" s="100"/>
      <c r="I152" s="162"/>
      <c r="J152" s="50"/>
      <c r="K152" s="120"/>
    </row>
    <row r="153" ht="22.5" customHeight="1">
      <c r="A153" s="159"/>
      <c r="B153" s="160"/>
      <c r="C153" s="41"/>
      <c r="D153" s="41"/>
      <c r="E153" s="54"/>
      <c r="F153" s="54"/>
      <c r="G153" s="46">
        <f t="shared" si="1"/>
        <v>0</v>
      </c>
      <c r="H153" s="100"/>
      <c r="I153" s="162"/>
      <c r="J153" s="50"/>
      <c r="K153" s="120"/>
    </row>
    <row r="154" ht="22.5" customHeight="1">
      <c r="A154" s="159"/>
      <c r="B154" s="160"/>
      <c r="C154" s="41"/>
      <c r="D154" s="41"/>
      <c r="E154" s="54"/>
      <c r="F154" s="54"/>
      <c r="G154" s="46">
        <f t="shared" si="1"/>
        <v>0</v>
      </c>
      <c r="H154" s="100"/>
      <c r="I154" s="162"/>
      <c r="J154" s="50"/>
      <c r="K154" s="120"/>
    </row>
    <row r="155" ht="22.5" customHeight="1">
      <c r="A155" s="159"/>
      <c r="B155" s="160"/>
      <c r="C155" s="41"/>
      <c r="D155" s="41"/>
      <c r="E155" s="54"/>
      <c r="F155" s="54"/>
      <c r="G155" s="46">
        <f t="shared" si="1"/>
        <v>0</v>
      </c>
      <c r="H155" s="100"/>
      <c r="I155" s="162"/>
      <c r="J155" s="50"/>
      <c r="K155" s="120"/>
    </row>
    <row r="156" ht="22.5" customHeight="1">
      <c r="A156" s="159"/>
      <c r="B156" s="160"/>
      <c r="C156" s="41"/>
      <c r="D156" s="41"/>
      <c r="E156" s="54"/>
      <c r="F156" s="54"/>
      <c r="G156" s="46">
        <f t="shared" si="1"/>
        <v>0</v>
      </c>
      <c r="H156" s="100"/>
      <c r="I156" s="162"/>
      <c r="J156" s="50"/>
      <c r="K156" s="120"/>
    </row>
    <row r="157" ht="22.5" customHeight="1">
      <c r="A157" s="159"/>
      <c r="B157" s="160"/>
      <c r="C157" s="41"/>
      <c r="D157" s="41"/>
      <c r="E157" s="54"/>
      <c r="F157" s="54"/>
      <c r="G157" s="46"/>
      <c r="H157" s="100"/>
      <c r="I157" s="162"/>
      <c r="J157" s="50"/>
      <c r="K157" s="120"/>
    </row>
    <row r="158" ht="22.5" customHeight="1">
      <c r="A158" s="159"/>
      <c r="B158" s="160"/>
      <c r="C158" s="41"/>
      <c r="D158" s="41"/>
      <c r="E158" s="54"/>
      <c r="F158" s="54"/>
      <c r="G158" s="46"/>
      <c r="H158" s="100"/>
      <c r="I158" s="162"/>
      <c r="J158" s="50"/>
      <c r="K158" s="120"/>
    </row>
    <row r="159" ht="22.5" customHeight="1">
      <c r="A159" s="159"/>
      <c r="B159" s="160"/>
      <c r="C159" s="41"/>
      <c r="D159" s="41"/>
      <c r="E159" s="54"/>
      <c r="F159" s="54"/>
      <c r="G159" s="46"/>
      <c r="H159" s="100"/>
      <c r="I159" s="162"/>
      <c r="J159" s="50"/>
      <c r="K159" s="120"/>
    </row>
    <row r="160" ht="22.5" customHeight="1">
      <c r="A160" s="159"/>
      <c r="B160" s="160"/>
      <c r="C160" s="41"/>
      <c r="D160" s="41"/>
      <c r="E160" s="54"/>
      <c r="F160" s="54"/>
      <c r="G160" s="46"/>
      <c r="H160" s="100"/>
      <c r="I160" s="162"/>
      <c r="J160" s="50"/>
      <c r="K160" s="120"/>
    </row>
    <row r="161" ht="22.5" customHeight="1">
      <c r="A161" s="159"/>
      <c r="B161" s="160"/>
      <c r="C161" s="41"/>
      <c r="D161" s="41"/>
      <c r="E161" s="54"/>
      <c r="F161" s="54"/>
      <c r="G161" s="46"/>
      <c r="H161" s="100"/>
      <c r="I161" s="162"/>
      <c r="J161" s="50"/>
      <c r="K161" s="120"/>
    </row>
    <row r="162" ht="22.5" customHeight="1">
      <c r="A162" s="159"/>
      <c r="B162" s="160"/>
      <c r="C162" s="41"/>
      <c r="D162" s="41"/>
      <c r="E162" s="54"/>
      <c r="F162" s="54"/>
      <c r="G162" s="46"/>
      <c r="H162" s="100"/>
      <c r="I162" s="162"/>
      <c r="J162" s="50"/>
      <c r="K162" s="120"/>
    </row>
    <row r="163" ht="22.5" customHeight="1">
      <c r="A163" s="159"/>
      <c r="B163" s="160"/>
      <c r="C163" s="41"/>
      <c r="D163" s="41"/>
      <c r="E163" s="54"/>
      <c r="F163" s="54"/>
      <c r="G163" s="46"/>
      <c r="H163" s="100"/>
      <c r="I163" s="162"/>
      <c r="J163" s="50"/>
      <c r="K163" s="120"/>
    </row>
    <row r="164" ht="22.5" customHeight="1">
      <c r="A164" s="173"/>
      <c r="B164" s="174"/>
      <c r="C164" s="175"/>
      <c r="D164" s="175"/>
      <c r="E164" s="176"/>
      <c r="F164" s="176"/>
      <c r="G164" s="177"/>
      <c r="H164" s="178"/>
      <c r="I164" s="179"/>
      <c r="J164" s="180"/>
      <c r="K164" s="181"/>
    </row>
    <row r="165" ht="22.5" customHeight="1">
      <c r="A165" s="173"/>
      <c r="B165" s="174"/>
      <c r="C165" s="175"/>
      <c r="D165" s="175"/>
      <c r="E165" s="176"/>
      <c r="F165" s="176"/>
      <c r="G165" s="177"/>
      <c r="H165" s="178"/>
      <c r="I165" s="179"/>
      <c r="J165" s="180"/>
      <c r="K165" s="181"/>
    </row>
    <row r="166" ht="22.5" customHeight="1">
      <c r="A166" s="173"/>
      <c r="B166" s="174"/>
      <c r="C166" s="175"/>
      <c r="D166" s="175"/>
      <c r="E166" s="176"/>
      <c r="F166" s="176"/>
      <c r="G166" s="177"/>
      <c r="H166" s="178"/>
      <c r="I166" s="179"/>
      <c r="J166" s="180"/>
      <c r="K166" s="181"/>
    </row>
    <row r="167" ht="22.5" customHeight="1">
      <c r="A167" s="173"/>
      <c r="B167" s="174"/>
      <c r="C167" s="175"/>
      <c r="D167" s="175"/>
      <c r="E167" s="176"/>
      <c r="F167" s="176"/>
      <c r="G167" s="177"/>
      <c r="H167" s="178"/>
      <c r="I167" s="179"/>
      <c r="J167" s="180"/>
      <c r="K167" s="181"/>
    </row>
    <row r="168" ht="22.5" customHeight="1">
      <c r="A168" s="173"/>
      <c r="B168" s="174"/>
      <c r="C168" s="175"/>
      <c r="D168" s="175"/>
      <c r="E168" s="176"/>
      <c r="F168" s="176"/>
      <c r="G168" s="177"/>
      <c r="H168" s="178"/>
      <c r="I168" s="179"/>
      <c r="J168" s="180"/>
      <c r="K168" s="181"/>
    </row>
    <row r="169" ht="22.5" customHeight="1">
      <c r="A169" s="173"/>
      <c r="B169" s="174"/>
      <c r="C169" s="175"/>
      <c r="D169" s="175"/>
      <c r="E169" s="176"/>
      <c r="F169" s="176"/>
      <c r="G169" s="177"/>
      <c r="H169" s="178"/>
      <c r="I169" s="179"/>
      <c r="J169" s="180"/>
      <c r="K169" s="181"/>
    </row>
    <row r="170" ht="22.5" customHeight="1">
      <c r="A170" s="173"/>
      <c r="B170" s="174"/>
      <c r="C170" s="175"/>
      <c r="D170" s="175"/>
      <c r="E170" s="176"/>
      <c r="F170" s="176"/>
      <c r="G170" s="177"/>
      <c r="H170" s="178"/>
      <c r="I170" s="179"/>
      <c r="J170" s="180"/>
      <c r="K170" s="181"/>
    </row>
    <row r="171" ht="22.5" customHeight="1">
      <c r="A171" s="173"/>
      <c r="B171" s="174"/>
      <c r="C171" s="175"/>
      <c r="D171" s="175"/>
      <c r="E171" s="176"/>
      <c r="F171" s="176"/>
      <c r="G171" s="177"/>
      <c r="H171" s="178"/>
      <c r="I171" s="179"/>
      <c r="J171" s="180"/>
      <c r="K171" s="181"/>
    </row>
    <row r="172" ht="22.5" customHeight="1">
      <c r="A172" s="173"/>
      <c r="B172" s="174"/>
      <c r="C172" s="175"/>
      <c r="D172" s="175"/>
      <c r="E172" s="176"/>
      <c r="F172" s="176"/>
      <c r="G172" s="177"/>
      <c r="H172" s="178"/>
      <c r="I172" s="179"/>
      <c r="J172" s="180"/>
      <c r="K172" s="181"/>
    </row>
    <row r="173" ht="22.5" customHeight="1">
      <c r="A173" s="173"/>
      <c r="B173" s="174"/>
      <c r="C173" s="175"/>
      <c r="D173" s="175"/>
      <c r="E173" s="176"/>
      <c r="F173" s="176"/>
      <c r="G173" s="177"/>
      <c r="H173" s="178"/>
      <c r="I173" s="179"/>
      <c r="J173" s="180"/>
      <c r="K173" s="181"/>
    </row>
    <row r="174" ht="22.5" customHeight="1">
      <c r="A174" s="173"/>
      <c r="B174" s="174"/>
      <c r="C174" s="175"/>
      <c r="D174" s="175"/>
      <c r="E174" s="176"/>
      <c r="F174" s="176"/>
      <c r="G174" s="177"/>
      <c r="H174" s="178"/>
      <c r="I174" s="179"/>
      <c r="J174" s="180"/>
      <c r="K174" s="181"/>
    </row>
    <row r="175" ht="22.5" customHeight="1">
      <c r="A175" s="173"/>
      <c r="B175" s="174"/>
      <c r="C175" s="175"/>
      <c r="D175" s="175"/>
      <c r="E175" s="176"/>
      <c r="F175" s="176"/>
      <c r="G175" s="177"/>
      <c r="H175" s="178"/>
      <c r="I175" s="179"/>
      <c r="J175" s="180"/>
      <c r="K175" s="181"/>
    </row>
    <row r="176" ht="22.5" customHeight="1">
      <c r="A176" s="173"/>
      <c r="B176" s="174"/>
      <c r="C176" s="175"/>
      <c r="D176" s="175"/>
      <c r="E176" s="176"/>
      <c r="F176" s="176"/>
      <c r="G176" s="177"/>
      <c r="H176" s="178"/>
      <c r="I176" s="179"/>
      <c r="J176" s="180"/>
      <c r="K176" s="181"/>
    </row>
    <row r="177" ht="22.5" customHeight="1">
      <c r="A177" s="173"/>
      <c r="B177" s="174"/>
      <c r="C177" s="175"/>
      <c r="D177" s="175"/>
      <c r="E177" s="176"/>
      <c r="F177" s="176"/>
      <c r="G177" s="177"/>
      <c r="H177" s="178"/>
      <c r="I177" s="179"/>
      <c r="J177" s="180"/>
      <c r="K177" s="181"/>
    </row>
    <row r="178" ht="22.5" customHeight="1">
      <c r="A178" s="173"/>
      <c r="B178" s="174"/>
      <c r="C178" s="175"/>
      <c r="D178" s="175"/>
      <c r="E178" s="176"/>
      <c r="F178" s="176"/>
      <c r="G178" s="177"/>
      <c r="H178" s="178"/>
      <c r="I178" s="179"/>
      <c r="J178" s="180"/>
      <c r="K178" s="181"/>
    </row>
    <row r="179" ht="22.5" customHeight="1">
      <c r="A179" s="173"/>
      <c r="B179" s="174"/>
      <c r="C179" s="175"/>
      <c r="D179" s="175"/>
      <c r="E179" s="176"/>
      <c r="F179" s="176"/>
      <c r="G179" s="177"/>
      <c r="H179" s="178"/>
      <c r="I179" s="179"/>
      <c r="J179" s="180"/>
      <c r="K179" s="181"/>
    </row>
    <row r="180" ht="22.5" customHeight="1">
      <c r="A180" s="173"/>
      <c r="B180" s="174"/>
      <c r="C180" s="175"/>
      <c r="D180" s="175"/>
      <c r="E180" s="176"/>
      <c r="F180" s="176"/>
      <c r="G180" s="177"/>
      <c r="H180" s="178"/>
      <c r="I180" s="179"/>
      <c r="J180" s="180"/>
      <c r="K180" s="181"/>
    </row>
    <row r="181" ht="22.5" customHeight="1">
      <c r="A181" s="173"/>
      <c r="B181" s="174"/>
      <c r="C181" s="175"/>
      <c r="D181" s="175"/>
      <c r="E181" s="176"/>
      <c r="F181" s="176"/>
      <c r="G181" s="177"/>
      <c r="H181" s="178"/>
      <c r="I181" s="179"/>
      <c r="J181" s="180"/>
      <c r="K181" s="181"/>
    </row>
    <row r="182" ht="22.5" customHeight="1">
      <c r="A182" s="173"/>
      <c r="B182" s="174"/>
      <c r="C182" s="175"/>
      <c r="D182" s="175"/>
      <c r="E182" s="176"/>
      <c r="F182" s="176"/>
      <c r="G182" s="177"/>
      <c r="H182" s="178"/>
      <c r="I182" s="179"/>
      <c r="J182" s="180"/>
      <c r="K182" s="181"/>
    </row>
    <row r="183" ht="22.5" customHeight="1">
      <c r="A183" s="173"/>
      <c r="B183" s="174"/>
      <c r="C183" s="175"/>
      <c r="D183" s="175"/>
      <c r="E183" s="176"/>
      <c r="F183" s="176"/>
      <c r="G183" s="177"/>
      <c r="H183" s="178"/>
      <c r="I183" s="179"/>
      <c r="J183" s="180"/>
      <c r="K183" s="181"/>
    </row>
    <row r="184" ht="22.5" customHeight="1">
      <c r="A184" s="173"/>
      <c r="B184" s="174"/>
      <c r="C184" s="175"/>
      <c r="D184" s="175"/>
      <c r="E184" s="176"/>
      <c r="F184" s="176"/>
      <c r="G184" s="177"/>
      <c r="H184" s="178"/>
      <c r="I184" s="179"/>
      <c r="J184" s="180"/>
      <c r="K184" s="181"/>
    </row>
    <row r="185" ht="22.5" customHeight="1">
      <c r="A185" s="173"/>
      <c r="B185" s="174"/>
      <c r="C185" s="175"/>
      <c r="D185" s="175"/>
      <c r="E185" s="176"/>
      <c r="F185" s="176"/>
      <c r="G185" s="177"/>
      <c r="H185" s="178"/>
      <c r="I185" s="179"/>
      <c r="J185" s="180"/>
      <c r="K185" s="181"/>
    </row>
    <row r="186" ht="22.5" customHeight="1">
      <c r="A186" s="173"/>
      <c r="B186" s="174"/>
      <c r="C186" s="175"/>
      <c r="D186" s="175"/>
      <c r="E186" s="176"/>
      <c r="F186" s="176"/>
      <c r="G186" s="177"/>
      <c r="H186" s="178"/>
      <c r="I186" s="179"/>
      <c r="J186" s="180"/>
      <c r="K186" s="181"/>
    </row>
    <row r="187" ht="22.5" customHeight="1">
      <c r="A187" s="173"/>
      <c r="B187" s="174"/>
      <c r="C187" s="175"/>
      <c r="D187" s="175"/>
      <c r="E187" s="176"/>
      <c r="F187" s="176"/>
      <c r="G187" s="177"/>
      <c r="H187" s="178"/>
      <c r="I187" s="179"/>
      <c r="J187" s="180"/>
      <c r="K187" s="181"/>
    </row>
    <row r="188" ht="22.5" customHeight="1">
      <c r="A188" s="173"/>
      <c r="B188" s="174"/>
      <c r="C188" s="175"/>
      <c r="D188" s="175"/>
      <c r="E188" s="176"/>
      <c r="F188" s="176"/>
      <c r="G188" s="177"/>
      <c r="H188" s="178"/>
      <c r="I188" s="179"/>
      <c r="J188" s="180"/>
      <c r="K188" s="181"/>
    </row>
    <row r="189" ht="22.5" customHeight="1">
      <c r="A189" s="173"/>
      <c r="B189" s="174"/>
      <c r="C189" s="175"/>
      <c r="D189" s="175"/>
      <c r="E189" s="176"/>
      <c r="F189" s="176"/>
      <c r="G189" s="177"/>
      <c r="H189" s="178"/>
      <c r="I189" s="179"/>
      <c r="J189" s="180"/>
      <c r="K189" s="181"/>
    </row>
    <row r="190" ht="22.5" customHeight="1">
      <c r="A190" s="173"/>
      <c r="B190" s="174"/>
      <c r="C190" s="175"/>
      <c r="D190" s="175"/>
      <c r="E190" s="176"/>
      <c r="F190" s="176"/>
      <c r="G190" s="177"/>
      <c r="H190" s="178"/>
      <c r="I190" s="179"/>
      <c r="J190" s="180"/>
      <c r="K190" s="181"/>
    </row>
    <row r="191" ht="22.5" customHeight="1">
      <c r="A191" s="173"/>
      <c r="B191" s="174"/>
      <c r="C191" s="175"/>
      <c r="D191" s="175"/>
      <c r="E191" s="176"/>
      <c r="F191" s="176"/>
      <c r="G191" s="177"/>
      <c r="H191" s="178"/>
      <c r="I191" s="179"/>
      <c r="J191" s="180"/>
      <c r="K191" s="181"/>
    </row>
    <row r="192" ht="22.5" customHeight="1">
      <c r="A192" s="173"/>
      <c r="B192" s="174"/>
      <c r="C192" s="175"/>
      <c r="D192" s="175"/>
      <c r="E192" s="176"/>
      <c r="F192" s="176"/>
      <c r="G192" s="177"/>
      <c r="H192" s="178"/>
      <c r="I192" s="179"/>
      <c r="J192" s="180"/>
      <c r="K192" s="181"/>
    </row>
    <row r="193" ht="22.5" customHeight="1">
      <c r="A193" s="173"/>
      <c r="B193" s="174"/>
      <c r="C193" s="175"/>
      <c r="D193" s="175"/>
      <c r="E193" s="176"/>
      <c r="F193" s="176"/>
      <c r="G193" s="177"/>
      <c r="H193" s="178"/>
      <c r="I193" s="179"/>
      <c r="J193" s="180"/>
      <c r="K193" s="181"/>
    </row>
    <row r="194" ht="22.5" customHeight="1">
      <c r="A194" s="173"/>
      <c r="B194" s="174"/>
      <c r="C194" s="175"/>
      <c r="D194" s="175"/>
      <c r="E194" s="176"/>
      <c r="F194" s="176"/>
      <c r="G194" s="177"/>
      <c r="H194" s="178"/>
      <c r="I194" s="179"/>
      <c r="J194" s="180"/>
      <c r="K194" s="181"/>
    </row>
    <row r="195" ht="22.5" customHeight="1">
      <c r="A195" s="173"/>
      <c r="B195" s="174"/>
      <c r="C195" s="175"/>
      <c r="D195" s="175"/>
      <c r="E195" s="176"/>
      <c r="F195" s="176"/>
      <c r="G195" s="177"/>
      <c r="H195" s="178"/>
      <c r="I195" s="179"/>
      <c r="J195" s="180"/>
      <c r="K195" s="181"/>
    </row>
    <row r="196" ht="22.5" customHeight="1">
      <c r="A196" s="173"/>
      <c r="B196" s="174"/>
      <c r="C196" s="175"/>
      <c r="D196" s="175"/>
      <c r="E196" s="176"/>
      <c r="F196" s="176"/>
      <c r="G196" s="177"/>
      <c r="H196" s="178"/>
      <c r="I196" s="179"/>
      <c r="J196" s="180"/>
      <c r="K196" s="181"/>
    </row>
    <row r="197" ht="22.5" customHeight="1">
      <c r="A197" s="173"/>
      <c r="B197" s="174"/>
      <c r="C197" s="175"/>
      <c r="D197" s="175"/>
      <c r="E197" s="176"/>
      <c r="F197" s="176"/>
      <c r="G197" s="177"/>
      <c r="H197" s="178"/>
      <c r="I197" s="179"/>
      <c r="J197" s="180"/>
      <c r="K197" s="181"/>
    </row>
    <row r="198" ht="22.5" customHeight="1">
      <c r="A198" s="173"/>
      <c r="B198" s="174"/>
      <c r="C198" s="175"/>
      <c r="D198" s="175"/>
      <c r="E198" s="176"/>
      <c r="F198" s="176"/>
      <c r="G198" s="177"/>
      <c r="H198" s="178"/>
      <c r="I198" s="179"/>
      <c r="J198" s="180"/>
      <c r="K198" s="181"/>
    </row>
    <row r="199" ht="22.5" customHeight="1">
      <c r="A199" s="173"/>
      <c r="B199" s="174"/>
      <c r="C199" s="175"/>
      <c r="D199" s="175"/>
      <c r="E199" s="176"/>
      <c r="F199" s="176"/>
      <c r="G199" s="177"/>
      <c r="H199" s="178"/>
      <c r="I199" s="179"/>
      <c r="J199" s="180"/>
      <c r="K199" s="181"/>
    </row>
    <row r="200" ht="22.5" customHeight="1">
      <c r="A200" s="173"/>
      <c r="B200" s="174"/>
      <c r="C200" s="175"/>
      <c r="D200" s="175"/>
      <c r="E200" s="176"/>
      <c r="F200" s="176"/>
      <c r="G200" s="177"/>
      <c r="H200" s="178"/>
      <c r="I200" s="179"/>
      <c r="J200" s="180"/>
      <c r="K200" s="181"/>
    </row>
    <row r="201" ht="22.5" customHeight="1">
      <c r="A201" s="173"/>
      <c r="B201" s="174"/>
      <c r="C201" s="175"/>
      <c r="D201" s="175"/>
      <c r="E201" s="176"/>
      <c r="F201" s="176"/>
      <c r="G201" s="177"/>
      <c r="H201" s="178"/>
      <c r="I201" s="179"/>
      <c r="J201" s="180"/>
      <c r="K201" s="181"/>
    </row>
    <row r="202" ht="22.5" customHeight="1">
      <c r="A202" s="173"/>
      <c r="B202" s="174"/>
      <c r="C202" s="175"/>
      <c r="D202" s="175"/>
      <c r="E202" s="176"/>
      <c r="F202" s="176"/>
      <c r="G202" s="177"/>
      <c r="H202" s="178"/>
      <c r="I202" s="179"/>
      <c r="J202" s="180"/>
      <c r="K202" s="181"/>
    </row>
    <row r="203" ht="22.5" customHeight="1">
      <c r="A203" s="173"/>
      <c r="B203" s="174"/>
      <c r="C203" s="175"/>
      <c r="D203" s="175"/>
      <c r="E203" s="176"/>
      <c r="F203" s="176"/>
      <c r="G203" s="177"/>
      <c r="H203" s="178"/>
      <c r="I203" s="179"/>
      <c r="J203" s="180"/>
      <c r="K203" s="181"/>
    </row>
    <row r="204" ht="22.5" customHeight="1">
      <c r="A204" s="173"/>
      <c r="B204" s="174"/>
      <c r="C204" s="175"/>
      <c r="D204" s="175"/>
      <c r="E204" s="176"/>
      <c r="F204" s="176"/>
      <c r="G204" s="177"/>
      <c r="H204" s="178"/>
      <c r="I204" s="179"/>
      <c r="J204" s="180"/>
      <c r="K204" s="181"/>
    </row>
    <row r="205" ht="22.5" customHeight="1">
      <c r="A205" s="173"/>
      <c r="B205" s="174"/>
      <c r="C205" s="175"/>
      <c r="D205" s="175"/>
      <c r="E205" s="176"/>
      <c r="F205" s="176"/>
      <c r="G205" s="177"/>
      <c r="H205" s="178"/>
      <c r="I205" s="179"/>
      <c r="J205" s="180"/>
      <c r="K205" s="181"/>
    </row>
    <row r="206" ht="22.5" customHeight="1">
      <c r="A206" s="173"/>
      <c r="B206" s="174"/>
      <c r="C206" s="175"/>
      <c r="D206" s="175"/>
      <c r="E206" s="176"/>
      <c r="F206" s="176"/>
      <c r="G206" s="177"/>
      <c r="H206" s="178"/>
      <c r="I206" s="179"/>
      <c r="J206" s="180"/>
      <c r="K206" s="181"/>
    </row>
    <row r="207" ht="22.5" customHeight="1">
      <c r="A207" s="173"/>
      <c r="B207" s="174"/>
      <c r="C207" s="175"/>
      <c r="D207" s="175"/>
      <c r="E207" s="176"/>
      <c r="F207" s="176"/>
      <c r="G207" s="177"/>
      <c r="H207" s="178"/>
      <c r="I207" s="179"/>
      <c r="J207" s="180"/>
      <c r="K207" s="181"/>
    </row>
    <row r="208" ht="22.5" customHeight="1">
      <c r="A208" s="173"/>
      <c r="B208" s="174"/>
      <c r="C208" s="175"/>
      <c r="D208" s="175"/>
      <c r="E208" s="176"/>
      <c r="F208" s="176"/>
      <c r="G208" s="177"/>
      <c r="H208" s="178"/>
      <c r="I208" s="179"/>
      <c r="J208" s="180"/>
      <c r="K208" s="181"/>
    </row>
    <row r="209" ht="22.5" customHeight="1">
      <c r="A209" s="173"/>
      <c r="B209" s="174"/>
      <c r="C209" s="175"/>
      <c r="D209" s="175"/>
      <c r="E209" s="176"/>
      <c r="F209" s="176"/>
      <c r="G209" s="177"/>
      <c r="H209" s="178"/>
      <c r="I209" s="179"/>
      <c r="J209" s="180"/>
      <c r="K209" s="181"/>
    </row>
    <row r="210" ht="22.5" customHeight="1">
      <c r="A210" s="173"/>
      <c r="B210" s="174"/>
      <c r="C210" s="175"/>
      <c r="D210" s="175"/>
      <c r="E210" s="176"/>
      <c r="F210" s="176"/>
      <c r="G210" s="177"/>
      <c r="H210" s="178"/>
      <c r="I210" s="179"/>
      <c r="J210" s="180"/>
      <c r="K210" s="181"/>
    </row>
    <row r="211" ht="22.5" customHeight="1">
      <c r="A211" s="173"/>
      <c r="B211" s="174"/>
      <c r="C211" s="175"/>
      <c r="D211" s="175"/>
      <c r="E211" s="176"/>
      <c r="F211" s="176"/>
      <c r="G211" s="177"/>
      <c r="H211" s="178"/>
      <c r="I211" s="179"/>
      <c r="J211" s="180"/>
      <c r="K211" s="181"/>
    </row>
    <row r="212" ht="22.5" customHeight="1">
      <c r="A212" s="173"/>
      <c r="B212" s="174"/>
      <c r="C212" s="175"/>
      <c r="D212" s="175"/>
      <c r="E212" s="176"/>
      <c r="F212" s="176"/>
      <c r="G212" s="177"/>
      <c r="H212" s="178"/>
      <c r="I212" s="179"/>
      <c r="J212" s="180"/>
      <c r="K212" s="181"/>
    </row>
    <row r="213" ht="22.5" customHeight="1">
      <c r="A213" s="173"/>
      <c r="B213" s="174"/>
      <c r="C213" s="175"/>
      <c r="D213" s="175"/>
      <c r="E213" s="176"/>
      <c r="F213" s="176"/>
      <c r="G213" s="177"/>
      <c r="H213" s="178"/>
      <c r="I213" s="179"/>
      <c r="J213" s="180"/>
      <c r="K213" s="181"/>
    </row>
    <row r="214" ht="22.5" customHeight="1">
      <c r="A214" s="173"/>
      <c r="B214" s="174"/>
      <c r="C214" s="175"/>
      <c r="D214" s="175"/>
      <c r="E214" s="176"/>
      <c r="F214" s="176"/>
      <c r="G214" s="177"/>
      <c r="H214" s="178"/>
      <c r="I214" s="179"/>
      <c r="J214" s="180"/>
      <c r="K214" s="181"/>
    </row>
    <row r="215" ht="22.5" customHeight="1">
      <c r="A215" s="173"/>
      <c r="B215" s="174"/>
      <c r="C215" s="175"/>
      <c r="D215" s="175"/>
      <c r="E215" s="176"/>
      <c r="F215" s="176"/>
      <c r="G215" s="177"/>
      <c r="H215" s="178"/>
      <c r="I215" s="179"/>
      <c r="J215" s="180"/>
      <c r="K215" s="181"/>
    </row>
    <row r="216" ht="22.5" customHeight="1">
      <c r="A216" s="173"/>
      <c r="B216" s="174"/>
      <c r="C216" s="175"/>
      <c r="D216" s="175"/>
      <c r="E216" s="176"/>
      <c r="F216" s="176"/>
      <c r="G216" s="177"/>
      <c r="H216" s="178"/>
      <c r="I216" s="179"/>
      <c r="J216" s="180"/>
      <c r="K216" s="181"/>
    </row>
    <row r="217" ht="22.5" customHeight="1">
      <c r="A217" s="173"/>
      <c r="B217" s="174"/>
      <c r="C217" s="175"/>
      <c r="D217" s="175"/>
      <c r="E217" s="176"/>
      <c r="F217" s="176"/>
      <c r="G217" s="177"/>
      <c r="H217" s="178"/>
      <c r="I217" s="179"/>
      <c r="J217" s="180"/>
      <c r="K217" s="181"/>
    </row>
    <row r="218" ht="22.5" customHeight="1">
      <c r="A218" s="173"/>
      <c r="B218" s="174"/>
      <c r="C218" s="175"/>
      <c r="D218" s="175"/>
      <c r="E218" s="176"/>
      <c r="F218" s="176"/>
      <c r="G218" s="177"/>
      <c r="H218" s="178"/>
      <c r="I218" s="179"/>
      <c r="J218" s="180"/>
      <c r="K218" s="181"/>
    </row>
    <row r="219" ht="22.5" customHeight="1">
      <c r="A219" s="173"/>
      <c r="B219" s="174"/>
      <c r="C219" s="175"/>
      <c r="D219" s="175"/>
      <c r="E219" s="176"/>
      <c r="F219" s="176"/>
      <c r="G219" s="177"/>
      <c r="H219" s="178"/>
      <c r="I219" s="179"/>
      <c r="J219" s="180"/>
      <c r="K219" s="181"/>
    </row>
    <row r="220" ht="22.5" customHeight="1">
      <c r="A220" s="173"/>
      <c r="B220" s="174"/>
      <c r="C220" s="175"/>
      <c r="D220" s="175"/>
      <c r="E220" s="176"/>
      <c r="F220" s="176"/>
      <c r="G220" s="177"/>
      <c r="H220" s="178"/>
      <c r="I220" s="179"/>
      <c r="J220" s="180"/>
      <c r="K220" s="181"/>
    </row>
    <row r="221" ht="22.5" customHeight="1">
      <c r="A221" s="173"/>
      <c r="B221" s="174"/>
      <c r="C221" s="175"/>
      <c r="D221" s="175"/>
      <c r="E221" s="176"/>
      <c r="F221" s="176"/>
      <c r="G221" s="177"/>
      <c r="H221" s="178"/>
      <c r="I221" s="179"/>
      <c r="J221" s="180"/>
      <c r="K221" s="181"/>
    </row>
    <row r="222" ht="22.5" customHeight="1">
      <c r="A222" s="173"/>
      <c r="B222" s="174"/>
      <c r="C222" s="175"/>
      <c r="D222" s="175"/>
      <c r="E222" s="176"/>
      <c r="F222" s="176"/>
      <c r="G222" s="177"/>
      <c r="H222" s="178"/>
      <c r="I222" s="179"/>
      <c r="J222" s="180"/>
      <c r="K222" s="181"/>
    </row>
    <row r="223" ht="22.5" customHeight="1">
      <c r="A223" s="173"/>
      <c r="B223" s="174"/>
      <c r="C223" s="175"/>
      <c r="D223" s="175"/>
      <c r="E223" s="176"/>
      <c r="F223" s="176"/>
      <c r="G223" s="177"/>
      <c r="H223" s="178"/>
      <c r="I223" s="179"/>
      <c r="J223" s="180"/>
      <c r="K223" s="181"/>
    </row>
    <row r="224" ht="22.5" customHeight="1">
      <c r="A224" s="173"/>
      <c r="B224" s="174"/>
      <c r="C224" s="175"/>
      <c r="D224" s="175"/>
      <c r="E224" s="176"/>
      <c r="F224" s="176"/>
      <c r="G224" s="177"/>
      <c r="H224" s="178"/>
      <c r="I224" s="179"/>
      <c r="J224" s="180"/>
      <c r="K224" s="181"/>
    </row>
    <row r="225" ht="22.5" customHeight="1">
      <c r="A225" s="173"/>
      <c r="B225" s="174"/>
      <c r="C225" s="175"/>
      <c r="D225" s="175"/>
      <c r="E225" s="176"/>
      <c r="F225" s="176"/>
      <c r="G225" s="177"/>
      <c r="H225" s="178"/>
      <c r="I225" s="179"/>
      <c r="J225" s="180"/>
      <c r="K225" s="181"/>
    </row>
    <row r="226" ht="22.5" customHeight="1">
      <c r="A226" s="173"/>
      <c r="B226" s="174"/>
      <c r="C226" s="175"/>
      <c r="D226" s="175"/>
      <c r="E226" s="176"/>
      <c r="F226" s="176"/>
      <c r="G226" s="177"/>
      <c r="H226" s="178"/>
      <c r="I226" s="179"/>
      <c r="J226" s="180"/>
      <c r="K226" s="181"/>
    </row>
    <row r="227" ht="22.5" customHeight="1">
      <c r="A227" s="173"/>
      <c r="B227" s="174"/>
      <c r="C227" s="175"/>
      <c r="D227" s="175"/>
      <c r="E227" s="176"/>
      <c r="F227" s="176"/>
      <c r="G227" s="177"/>
      <c r="H227" s="178"/>
      <c r="I227" s="179"/>
      <c r="J227" s="180"/>
      <c r="K227" s="181"/>
    </row>
    <row r="228" ht="22.5" customHeight="1">
      <c r="A228" s="173"/>
      <c r="B228" s="174"/>
      <c r="C228" s="175"/>
      <c r="D228" s="175"/>
      <c r="E228" s="176"/>
      <c r="F228" s="176"/>
      <c r="G228" s="177"/>
      <c r="H228" s="178"/>
      <c r="I228" s="179"/>
      <c r="J228" s="180"/>
      <c r="K228" s="181"/>
    </row>
    <row r="229" ht="22.5" customHeight="1">
      <c r="A229" s="173"/>
      <c r="B229" s="174"/>
      <c r="C229" s="175"/>
      <c r="D229" s="175"/>
      <c r="E229" s="176"/>
      <c r="F229" s="176"/>
      <c r="G229" s="177"/>
      <c r="H229" s="178"/>
      <c r="I229" s="179"/>
      <c r="J229" s="180"/>
      <c r="K229" s="181"/>
    </row>
    <row r="230" ht="22.5" customHeight="1">
      <c r="A230" s="173"/>
      <c r="B230" s="174"/>
      <c r="C230" s="175"/>
      <c r="D230" s="175"/>
      <c r="E230" s="176"/>
      <c r="F230" s="176"/>
      <c r="G230" s="177"/>
      <c r="H230" s="178"/>
      <c r="I230" s="179"/>
      <c r="J230" s="180"/>
      <c r="K230" s="181"/>
    </row>
    <row r="231" ht="22.5" customHeight="1">
      <c r="A231" s="173"/>
      <c r="B231" s="174"/>
      <c r="C231" s="175"/>
      <c r="D231" s="175"/>
      <c r="E231" s="176"/>
      <c r="F231" s="176"/>
      <c r="G231" s="177"/>
      <c r="H231" s="178"/>
      <c r="I231" s="179"/>
      <c r="J231" s="180"/>
      <c r="K231" s="181"/>
    </row>
    <row r="232" ht="22.5" customHeight="1">
      <c r="A232" s="173"/>
      <c r="B232" s="174"/>
      <c r="C232" s="175"/>
      <c r="D232" s="175"/>
      <c r="E232" s="176"/>
      <c r="F232" s="176"/>
      <c r="G232" s="177"/>
      <c r="H232" s="178"/>
      <c r="I232" s="179"/>
      <c r="J232" s="180"/>
      <c r="K232" s="181"/>
    </row>
    <row r="233" ht="22.5" customHeight="1">
      <c r="A233" s="173"/>
      <c r="B233" s="174"/>
      <c r="C233" s="175"/>
      <c r="D233" s="175"/>
      <c r="E233" s="176"/>
      <c r="F233" s="176"/>
      <c r="G233" s="177"/>
      <c r="H233" s="178"/>
      <c r="I233" s="179"/>
      <c r="J233" s="180"/>
      <c r="K233" s="181"/>
    </row>
    <row r="234" ht="22.5" customHeight="1">
      <c r="A234" s="173"/>
      <c r="B234" s="174"/>
      <c r="C234" s="175"/>
      <c r="D234" s="175"/>
      <c r="E234" s="176"/>
      <c r="F234" s="176"/>
      <c r="G234" s="177"/>
      <c r="H234" s="178"/>
      <c r="I234" s="179"/>
      <c r="J234" s="180"/>
      <c r="K234" s="181"/>
    </row>
    <row r="235" ht="22.5" customHeight="1">
      <c r="A235" s="173"/>
      <c r="B235" s="174"/>
      <c r="C235" s="175"/>
      <c r="D235" s="175"/>
      <c r="E235" s="176"/>
      <c r="F235" s="176"/>
      <c r="G235" s="177"/>
      <c r="H235" s="178"/>
      <c r="I235" s="179"/>
      <c r="J235" s="180"/>
      <c r="K235" s="181"/>
    </row>
    <row r="236" ht="22.5" customHeight="1">
      <c r="A236" s="173"/>
      <c r="B236" s="174"/>
      <c r="C236" s="175"/>
      <c r="D236" s="175"/>
      <c r="E236" s="176"/>
      <c r="F236" s="176"/>
      <c r="G236" s="177"/>
      <c r="H236" s="178"/>
      <c r="I236" s="179"/>
      <c r="J236" s="180"/>
      <c r="K236" s="181"/>
    </row>
    <row r="237" ht="22.5" customHeight="1">
      <c r="A237" s="173"/>
      <c r="B237" s="174"/>
      <c r="C237" s="175"/>
      <c r="D237" s="175"/>
      <c r="E237" s="176"/>
      <c r="F237" s="176"/>
      <c r="G237" s="177"/>
      <c r="H237" s="178"/>
      <c r="I237" s="179"/>
      <c r="J237" s="180"/>
      <c r="K237" s="181"/>
    </row>
    <row r="238" ht="22.5" customHeight="1">
      <c r="A238" s="173"/>
      <c r="B238" s="174"/>
      <c r="C238" s="175"/>
      <c r="D238" s="175"/>
      <c r="E238" s="176"/>
      <c r="F238" s="176"/>
      <c r="G238" s="177"/>
      <c r="H238" s="178"/>
      <c r="I238" s="179"/>
      <c r="J238" s="180"/>
      <c r="K238" s="181"/>
    </row>
    <row r="239" ht="22.5" customHeight="1">
      <c r="A239" s="173"/>
      <c r="B239" s="174"/>
      <c r="C239" s="175"/>
      <c r="D239" s="175"/>
      <c r="E239" s="176"/>
      <c r="F239" s="176"/>
      <c r="G239" s="177"/>
      <c r="H239" s="178"/>
      <c r="I239" s="179"/>
      <c r="J239" s="180"/>
      <c r="K239" s="181"/>
    </row>
    <row r="240" ht="22.5" customHeight="1">
      <c r="A240" s="173"/>
      <c r="B240" s="174"/>
      <c r="C240" s="175"/>
      <c r="D240" s="175"/>
      <c r="E240" s="176"/>
      <c r="F240" s="176"/>
      <c r="G240" s="177"/>
      <c r="H240" s="178"/>
      <c r="I240" s="179"/>
      <c r="J240" s="180"/>
      <c r="K240" s="181"/>
    </row>
    <row r="241" ht="22.5" customHeight="1">
      <c r="A241" s="173"/>
      <c r="B241" s="174"/>
      <c r="C241" s="175"/>
      <c r="D241" s="175"/>
      <c r="E241" s="176"/>
      <c r="F241" s="176"/>
      <c r="G241" s="177"/>
      <c r="H241" s="178"/>
      <c r="I241" s="179"/>
      <c r="J241" s="180"/>
      <c r="K241" s="181"/>
    </row>
    <row r="242" ht="22.5" customHeight="1">
      <c r="A242" s="173"/>
      <c r="B242" s="174"/>
      <c r="C242" s="175"/>
      <c r="D242" s="175"/>
      <c r="E242" s="176"/>
      <c r="F242" s="176"/>
      <c r="G242" s="177"/>
      <c r="H242" s="178"/>
      <c r="I242" s="179"/>
      <c r="J242" s="180"/>
      <c r="K242" s="181"/>
    </row>
    <row r="243" ht="22.5" customHeight="1">
      <c r="A243" s="173"/>
      <c r="B243" s="174"/>
      <c r="C243" s="175"/>
      <c r="D243" s="175"/>
      <c r="E243" s="176"/>
      <c r="F243" s="176"/>
      <c r="G243" s="177"/>
      <c r="H243" s="178"/>
      <c r="I243" s="179"/>
      <c r="J243" s="180"/>
      <c r="K243" s="181"/>
    </row>
    <row r="244" ht="22.5" customHeight="1">
      <c r="A244" s="173"/>
      <c r="B244" s="174"/>
      <c r="C244" s="175"/>
      <c r="D244" s="175"/>
      <c r="E244" s="176"/>
      <c r="F244" s="176"/>
      <c r="G244" s="177"/>
      <c r="H244" s="178"/>
      <c r="I244" s="179"/>
      <c r="J244" s="180"/>
      <c r="K244" s="181"/>
    </row>
    <row r="245" ht="22.5" customHeight="1">
      <c r="A245" s="173"/>
      <c r="B245" s="174"/>
      <c r="C245" s="175"/>
      <c r="D245" s="175"/>
      <c r="E245" s="176"/>
      <c r="F245" s="176"/>
      <c r="G245" s="177"/>
      <c r="H245" s="178"/>
      <c r="I245" s="179"/>
      <c r="J245" s="180"/>
      <c r="K245" s="181"/>
    </row>
    <row r="246" ht="22.5" customHeight="1">
      <c r="A246" s="173"/>
      <c r="B246" s="174"/>
      <c r="C246" s="175"/>
      <c r="D246" s="175"/>
      <c r="E246" s="176"/>
      <c r="F246" s="176"/>
      <c r="G246" s="177"/>
      <c r="H246" s="178"/>
      <c r="I246" s="179"/>
      <c r="J246" s="180"/>
      <c r="K246" s="181"/>
    </row>
    <row r="247" ht="22.5" customHeight="1">
      <c r="A247" s="173"/>
      <c r="B247" s="174"/>
      <c r="C247" s="175"/>
      <c r="D247" s="175"/>
      <c r="E247" s="176"/>
      <c r="F247" s="176"/>
      <c r="G247" s="177"/>
      <c r="H247" s="178"/>
      <c r="I247" s="179"/>
      <c r="J247" s="180"/>
      <c r="K247" s="181"/>
    </row>
    <row r="248" ht="22.5" customHeight="1">
      <c r="A248" s="173"/>
      <c r="B248" s="174"/>
      <c r="C248" s="175"/>
      <c r="D248" s="175"/>
      <c r="E248" s="176"/>
      <c r="F248" s="176"/>
      <c r="G248" s="177"/>
      <c r="H248" s="178"/>
      <c r="I248" s="179"/>
      <c r="J248" s="180"/>
      <c r="K248" s="181"/>
    </row>
    <row r="249" ht="22.5" customHeight="1">
      <c r="A249" s="173"/>
      <c r="B249" s="174"/>
      <c r="C249" s="175"/>
      <c r="D249" s="175"/>
      <c r="E249" s="176"/>
      <c r="F249" s="176"/>
      <c r="G249" s="177"/>
      <c r="H249" s="178"/>
      <c r="I249" s="179"/>
      <c r="J249" s="180"/>
      <c r="K249" s="181"/>
    </row>
    <row r="250" ht="22.5" customHeight="1">
      <c r="A250" s="173"/>
      <c r="B250" s="174"/>
      <c r="C250" s="175"/>
      <c r="D250" s="175"/>
      <c r="E250" s="176"/>
      <c r="F250" s="176"/>
      <c r="G250" s="177"/>
      <c r="H250" s="178"/>
      <c r="I250" s="179"/>
      <c r="J250" s="180"/>
      <c r="K250" s="181"/>
    </row>
    <row r="251" ht="22.5" customHeight="1">
      <c r="A251" s="173"/>
      <c r="B251" s="174"/>
      <c r="C251" s="175"/>
      <c r="D251" s="175"/>
      <c r="E251" s="176"/>
      <c r="F251" s="176"/>
      <c r="G251" s="177"/>
      <c r="H251" s="178"/>
      <c r="I251" s="179"/>
      <c r="J251" s="180"/>
      <c r="K251" s="181"/>
    </row>
    <row r="252" ht="22.5" customHeight="1">
      <c r="A252" s="173"/>
      <c r="B252" s="174"/>
      <c r="C252" s="175"/>
      <c r="D252" s="175"/>
      <c r="E252" s="176"/>
      <c r="F252" s="176"/>
      <c r="G252" s="177"/>
      <c r="H252" s="178"/>
      <c r="I252" s="179"/>
      <c r="J252" s="180"/>
      <c r="K252" s="181"/>
    </row>
    <row r="253" ht="22.5" customHeight="1">
      <c r="A253" s="173"/>
      <c r="B253" s="174"/>
      <c r="C253" s="175"/>
      <c r="D253" s="175"/>
      <c r="E253" s="176"/>
      <c r="F253" s="176"/>
      <c r="G253" s="177"/>
      <c r="H253" s="178"/>
      <c r="I253" s="179"/>
      <c r="J253" s="180"/>
      <c r="K253" s="181"/>
    </row>
    <row r="254" ht="22.5" customHeight="1">
      <c r="A254" s="173"/>
      <c r="B254" s="174"/>
      <c r="C254" s="175"/>
      <c r="D254" s="175"/>
      <c r="E254" s="176"/>
      <c r="F254" s="176"/>
      <c r="G254" s="177"/>
      <c r="H254" s="178"/>
      <c r="I254" s="179"/>
      <c r="J254" s="180"/>
      <c r="K254" s="181"/>
    </row>
    <row r="255" ht="22.5" customHeight="1">
      <c r="A255" s="173"/>
      <c r="B255" s="174"/>
      <c r="C255" s="175"/>
      <c r="D255" s="175"/>
      <c r="E255" s="176"/>
      <c r="F255" s="176"/>
      <c r="G255" s="177"/>
      <c r="H255" s="178"/>
      <c r="I255" s="179"/>
      <c r="J255" s="180"/>
      <c r="K255" s="181"/>
    </row>
    <row r="256" ht="22.5" customHeight="1">
      <c r="A256" s="173"/>
      <c r="B256" s="174"/>
      <c r="C256" s="175"/>
      <c r="D256" s="175"/>
      <c r="E256" s="176"/>
      <c r="F256" s="176"/>
      <c r="G256" s="177"/>
      <c r="H256" s="178"/>
      <c r="I256" s="179"/>
      <c r="J256" s="180"/>
      <c r="K256" s="181"/>
    </row>
    <row r="257" ht="22.5" customHeight="1">
      <c r="A257" s="173"/>
      <c r="B257" s="174"/>
      <c r="C257" s="175"/>
      <c r="D257" s="175"/>
      <c r="E257" s="176"/>
      <c r="F257" s="176"/>
      <c r="G257" s="177"/>
      <c r="H257" s="178"/>
      <c r="I257" s="179"/>
      <c r="J257" s="180"/>
      <c r="K257" s="181"/>
    </row>
    <row r="258" ht="22.5" customHeight="1">
      <c r="A258" s="173"/>
      <c r="B258" s="174"/>
      <c r="C258" s="175"/>
      <c r="D258" s="175"/>
      <c r="E258" s="176"/>
      <c r="F258" s="176"/>
      <c r="G258" s="177"/>
      <c r="H258" s="178"/>
      <c r="I258" s="179"/>
      <c r="J258" s="180"/>
      <c r="K258" s="181"/>
    </row>
    <row r="259" ht="22.5" customHeight="1">
      <c r="A259" s="173"/>
      <c r="B259" s="174"/>
      <c r="C259" s="175"/>
      <c r="D259" s="175"/>
      <c r="E259" s="176"/>
      <c r="F259" s="176"/>
      <c r="G259" s="177"/>
      <c r="H259" s="178"/>
      <c r="I259" s="179"/>
      <c r="J259" s="180"/>
      <c r="K259" s="181"/>
    </row>
    <row r="260" ht="22.5" customHeight="1">
      <c r="A260" s="173"/>
      <c r="B260" s="174"/>
      <c r="C260" s="175"/>
      <c r="D260" s="175"/>
      <c r="E260" s="176"/>
      <c r="F260" s="176"/>
      <c r="G260" s="177"/>
      <c r="H260" s="178"/>
      <c r="I260" s="179"/>
      <c r="J260" s="180"/>
      <c r="K260" s="181"/>
    </row>
    <row r="261" ht="22.5" customHeight="1">
      <c r="A261" s="173"/>
      <c r="B261" s="174"/>
      <c r="C261" s="175"/>
      <c r="D261" s="175"/>
      <c r="E261" s="176"/>
      <c r="F261" s="176"/>
      <c r="G261" s="177"/>
      <c r="H261" s="178"/>
      <c r="I261" s="179"/>
      <c r="J261" s="180"/>
      <c r="K261" s="181"/>
    </row>
    <row r="262" ht="22.5" customHeight="1">
      <c r="A262" s="173"/>
      <c r="B262" s="174"/>
      <c r="C262" s="175"/>
      <c r="D262" s="175"/>
      <c r="E262" s="176"/>
      <c r="F262" s="176"/>
      <c r="G262" s="177"/>
      <c r="H262" s="178"/>
      <c r="I262" s="179"/>
      <c r="J262" s="180"/>
      <c r="K262" s="181"/>
    </row>
    <row r="263" ht="22.5" customHeight="1">
      <c r="A263" s="173"/>
      <c r="B263" s="174"/>
      <c r="C263" s="175"/>
      <c r="D263" s="175"/>
      <c r="E263" s="176"/>
      <c r="F263" s="176"/>
      <c r="G263" s="177"/>
      <c r="H263" s="178"/>
      <c r="I263" s="179"/>
      <c r="J263" s="180"/>
      <c r="K263" s="181"/>
    </row>
    <row r="264" ht="22.5" customHeight="1">
      <c r="A264" s="173"/>
      <c r="B264" s="174"/>
      <c r="C264" s="175"/>
      <c r="D264" s="175"/>
      <c r="E264" s="176"/>
      <c r="F264" s="176"/>
      <c r="G264" s="177"/>
      <c r="H264" s="178"/>
      <c r="I264" s="179"/>
      <c r="J264" s="180"/>
      <c r="K264" s="181"/>
    </row>
    <row r="265" ht="22.5" customHeight="1">
      <c r="A265" s="173"/>
      <c r="B265" s="174"/>
      <c r="C265" s="175"/>
      <c r="D265" s="175"/>
      <c r="E265" s="176"/>
      <c r="F265" s="176"/>
      <c r="G265" s="177"/>
      <c r="H265" s="178"/>
      <c r="I265" s="179"/>
      <c r="J265" s="180"/>
      <c r="K265" s="181"/>
    </row>
    <row r="266" ht="22.5" customHeight="1">
      <c r="A266" s="173"/>
      <c r="B266" s="174"/>
      <c r="C266" s="175"/>
      <c r="D266" s="175"/>
      <c r="E266" s="176"/>
      <c r="F266" s="176"/>
      <c r="G266" s="177"/>
      <c r="H266" s="178"/>
      <c r="I266" s="179"/>
      <c r="J266" s="180"/>
      <c r="K266" s="181"/>
    </row>
    <row r="267" ht="22.5" customHeight="1">
      <c r="A267" s="173"/>
      <c r="B267" s="174"/>
      <c r="C267" s="175"/>
      <c r="D267" s="175"/>
      <c r="E267" s="176"/>
      <c r="F267" s="176"/>
      <c r="G267" s="177"/>
      <c r="H267" s="178"/>
      <c r="I267" s="179"/>
      <c r="J267" s="180"/>
      <c r="K267" s="181"/>
    </row>
    <row r="268" ht="22.5" customHeight="1">
      <c r="A268" s="173"/>
      <c r="B268" s="174"/>
      <c r="C268" s="175"/>
      <c r="D268" s="175"/>
      <c r="E268" s="176"/>
      <c r="F268" s="176"/>
      <c r="G268" s="177"/>
      <c r="H268" s="178"/>
      <c r="I268" s="179"/>
      <c r="J268" s="180"/>
      <c r="K268" s="181"/>
    </row>
    <row r="269" ht="22.5" customHeight="1">
      <c r="A269" s="173"/>
      <c r="B269" s="174"/>
      <c r="C269" s="175"/>
      <c r="D269" s="175"/>
      <c r="E269" s="176"/>
      <c r="F269" s="176"/>
      <c r="G269" s="177"/>
      <c r="H269" s="178"/>
      <c r="I269" s="179"/>
      <c r="J269" s="180"/>
      <c r="K269" s="181"/>
    </row>
    <row r="270" ht="22.5" customHeight="1">
      <c r="A270" s="173"/>
      <c r="B270" s="174"/>
      <c r="C270" s="175"/>
      <c r="D270" s="175"/>
      <c r="E270" s="176"/>
      <c r="F270" s="176"/>
      <c r="G270" s="177"/>
      <c r="H270" s="178"/>
      <c r="I270" s="179"/>
      <c r="J270" s="180"/>
      <c r="K270" s="181"/>
    </row>
    <row r="271" ht="22.5" customHeight="1">
      <c r="A271" s="173"/>
      <c r="B271" s="174"/>
      <c r="C271" s="175"/>
      <c r="D271" s="175"/>
      <c r="E271" s="176"/>
      <c r="F271" s="176"/>
      <c r="G271" s="177"/>
      <c r="H271" s="178"/>
      <c r="I271" s="179"/>
      <c r="J271" s="180"/>
      <c r="K271" s="181"/>
    </row>
    <row r="272" ht="22.5" customHeight="1">
      <c r="A272" s="173"/>
      <c r="B272" s="174"/>
      <c r="C272" s="175"/>
      <c r="D272" s="175"/>
      <c r="E272" s="176"/>
      <c r="F272" s="176"/>
      <c r="G272" s="177"/>
      <c r="H272" s="178"/>
      <c r="I272" s="179"/>
      <c r="J272" s="180"/>
      <c r="K272" s="181"/>
    </row>
    <row r="273" ht="22.5" customHeight="1">
      <c r="A273" s="173"/>
      <c r="B273" s="174"/>
      <c r="C273" s="175"/>
      <c r="D273" s="175"/>
      <c r="E273" s="176"/>
      <c r="F273" s="176"/>
      <c r="G273" s="177"/>
      <c r="H273" s="178"/>
      <c r="I273" s="179"/>
      <c r="J273" s="180"/>
      <c r="K273" s="181"/>
    </row>
    <row r="274" ht="22.5" customHeight="1">
      <c r="A274" s="173"/>
      <c r="B274" s="174"/>
      <c r="C274" s="175"/>
      <c r="D274" s="175"/>
      <c r="E274" s="176"/>
      <c r="F274" s="176"/>
      <c r="G274" s="177"/>
      <c r="H274" s="178"/>
      <c r="I274" s="179"/>
      <c r="J274" s="180"/>
      <c r="K274" s="181"/>
    </row>
    <row r="275" ht="22.5" customHeight="1">
      <c r="A275" s="173"/>
      <c r="B275" s="174"/>
      <c r="C275" s="175"/>
      <c r="D275" s="175"/>
      <c r="E275" s="176"/>
      <c r="F275" s="176"/>
      <c r="G275" s="177"/>
      <c r="H275" s="178"/>
      <c r="I275" s="179"/>
      <c r="J275" s="180"/>
      <c r="K275" s="181"/>
    </row>
    <row r="276" ht="22.5" customHeight="1">
      <c r="A276" s="173"/>
      <c r="B276" s="174"/>
      <c r="C276" s="175"/>
      <c r="D276" s="175"/>
      <c r="E276" s="176"/>
      <c r="F276" s="176"/>
      <c r="G276" s="177"/>
      <c r="H276" s="178"/>
      <c r="I276" s="179"/>
      <c r="J276" s="180"/>
      <c r="K276" s="181"/>
    </row>
    <row r="277" ht="22.5" customHeight="1">
      <c r="A277" s="173"/>
      <c r="B277" s="174"/>
      <c r="C277" s="175"/>
      <c r="D277" s="175"/>
      <c r="E277" s="176"/>
      <c r="F277" s="176"/>
      <c r="G277" s="177"/>
      <c r="H277" s="178"/>
      <c r="I277" s="179"/>
      <c r="J277" s="180"/>
      <c r="K277" s="181"/>
    </row>
    <row r="278" ht="22.5" customHeight="1">
      <c r="A278" s="173"/>
      <c r="B278" s="174"/>
      <c r="C278" s="175"/>
      <c r="D278" s="175"/>
      <c r="E278" s="176"/>
      <c r="F278" s="176"/>
      <c r="G278" s="177"/>
      <c r="H278" s="178"/>
      <c r="I278" s="179"/>
      <c r="J278" s="180"/>
      <c r="K278" s="181"/>
    </row>
    <row r="279" ht="22.5" customHeight="1">
      <c r="A279" s="173"/>
      <c r="B279" s="174"/>
      <c r="C279" s="175"/>
      <c r="D279" s="175"/>
      <c r="E279" s="176"/>
      <c r="F279" s="176"/>
      <c r="G279" s="177"/>
      <c r="H279" s="178"/>
      <c r="I279" s="179"/>
      <c r="J279" s="180"/>
      <c r="K279" s="181"/>
    </row>
    <row r="280" ht="22.5" customHeight="1">
      <c r="A280" s="173"/>
      <c r="B280" s="174"/>
      <c r="C280" s="175"/>
      <c r="D280" s="175"/>
      <c r="E280" s="176"/>
      <c r="F280" s="176"/>
      <c r="G280" s="177"/>
      <c r="H280" s="178"/>
      <c r="I280" s="179"/>
      <c r="J280" s="180"/>
      <c r="K280" s="181"/>
    </row>
    <row r="281" ht="22.5" customHeight="1">
      <c r="A281" s="173"/>
      <c r="B281" s="174"/>
      <c r="C281" s="175"/>
      <c r="D281" s="175"/>
      <c r="E281" s="176"/>
      <c r="F281" s="176"/>
      <c r="G281" s="177"/>
      <c r="H281" s="178"/>
      <c r="I281" s="179"/>
      <c r="J281" s="180"/>
      <c r="K281" s="181"/>
    </row>
    <row r="282" ht="22.5" customHeight="1">
      <c r="A282" s="173"/>
      <c r="B282" s="174"/>
      <c r="C282" s="175"/>
      <c r="D282" s="175"/>
      <c r="E282" s="176"/>
      <c r="F282" s="176"/>
      <c r="G282" s="177"/>
      <c r="H282" s="178"/>
      <c r="I282" s="179"/>
      <c r="J282" s="180"/>
      <c r="K282" s="181"/>
    </row>
    <row r="283" ht="22.5" customHeight="1">
      <c r="A283" s="173"/>
      <c r="B283" s="174"/>
      <c r="C283" s="175"/>
      <c r="D283" s="175"/>
      <c r="E283" s="176"/>
      <c r="F283" s="176"/>
      <c r="G283" s="177"/>
      <c r="H283" s="178"/>
      <c r="I283" s="179"/>
      <c r="J283" s="180"/>
      <c r="K283" s="181"/>
    </row>
    <row r="284" ht="22.5" customHeight="1">
      <c r="A284" s="173"/>
      <c r="B284" s="174"/>
      <c r="C284" s="175"/>
      <c r="D284" s="175"/>
      <c r="E284" s="176"/>
      <c r="F284" s="176"/>
      <c r="G284" s="177"/>
      <c r="H284" s="178"/>
      <c r="I284" s="179"/>
      <c r="J284" s="180"/>
      <c r="K284" s="181"/>
    </row>
    <row r="285" ht="22.5" customHeight="1">
      <c r="A285" s="173"/>
      <c r="B285" s="174"/>
      <c r="C285" s="175"/>
      <c r="D285" s="175"/>
      <c r="E285" s="176"/>
      <c r="F285" s="176"/>
      <c r="G285" s="177"/>
      <c r="H285" s="178"/>
      <c r="I285" s="179"/>
      <c r="J285" s="180"/>
      <c r="K285" s="181"/>
    </row>
    <row r="286" ht="22.5" customHeight="1">
      <c r="A286" s="173"/>
      <c r="B286" s="174"/>
      <c r="C286" s="175"/>
      <c r="D286" s="175"/>
      <c r="E286" s="176"/>
      <c r="F286" s="176"/>
      <c r="G286" s="177"/>
      <c r="H286" s="178"/>
      <c r="I286" s="179"/>
      <c r="J286" s="180"/>
      <c r="K286" s="181"/>
    </row>
    <row r="287" ht="22.5" customHeight="1">
      <c r="A287" s="173"/>
      <c r="B287" s="174"/>
      <c r="C287" s="175"/>
      <c r="D287" s="175"/>
      <c r="E287" s="176"/>
      <c r="F287" s="176"/>
      <c r="G287" s="177"/>
      <c r="H287" s="178"/>
      <c r="I287" s="179"/>
      <c r="J287" s="180"/>
      <c r="K287" s="181"/>
    </row>
    <row r="288" ht="22.5" customHeight="1">
      <c r="A288" s="173"/>
      <c r="B288" s="174"/>
      <c r="C288" s="175"/>
      <c r="D288" s="175"/>
      <c r="E288" s="176"/>
      <c r="F288" s="176"/>
      <c r="G288" s="177"/>
      <c r="H288" s="178"/>
      <c r="I288" s="179"/>
      <c r="J288" s="180"/>
      <c r="K288" s="181"/>
    </row>
    <row r="289" ht="22.5" customHeight="1">
      <c r="A289" s="173"/>
      <c r="B289" s="174"/>
      <c r="C289" s="175"/>
      <c r="D289" s="175"/>
      <c r="E289" s="176"/>
      <c r="F289" s="176"/>
      <c r="G289" s="177"/>
      <c r="H289" s="178"/>
      <c r="I289" s="179"/>
      <c r="J289" s="180"/>
      <c r="K289" s="181"/>
    </row>
    <row r="290" ht="22.5" customHeight="1">
      <c r="A290" s="173"/>
      <c r="B290" s="174"/>
      <c r="C290" s="175"/>
      <c r="D290" s="175"/>
      <c r="E290" s="176"/>
      <c r="F290" s="176"/>
      <c r="G290" s="177"/>
      <c r="H290" s="178"/>
      <c r="I290" s="179"/>
      <c r="J290" s="180"/>
      <c r="K290" s="181"/>
    </row>
    <row r="291" ht="22.5" customHeight="1">
      <c r="A291" s="173"/>
      <c r="B291" s="174"/>
      <c r="C291" s="175"/>
      <c r="D291" s="175"/>
      <c r="E291" s="176"/>
      <c r="F291" s="176"/>
      <c r="G291" s="177"/>
      <c r="H291" s="178"/>
      <c r="I291" s="179"/>
      <c r="J291" s="180"/>
      <c r="K291" s="181"/>
    </row>
    <row r="292" ht="22.5" customHeight="1">
      <c r="A292" s="173"/>
      <c r="B292" s="174"/>
      <c r="C292" s="175"/>
      <c r="D292" s="175"/>
      <c r="E292" s="176"/>
      <c r="F292" s="176"/>
      <c r="G292" s="177"/>
      <c r="H292" s="178"/>
      <c r="I292" s="179"/>
      <c r="J292" s="180"/>
      <c r="K292" s="181"/>
    </row>
    <row r="293" ht="22.5" customHeight="1">
      <c r="A293" s="173"/>
      <c r="B293" s="174"/>
      <c r="C293" s="175"/>
      <c r="D293" s="175"/>
      <c r="E293" s="176"/>
      <c r="F293" s="176"/>
      <c r="G293" s="177"/>
      <c r="H293" s="178"/>
      <c r="I293" s="179"/>
      <c r="J293" s="180"/>
      <c r="K293" s="181"/>
    </row>
    <row r="294" ht="22.5" customHeight="1">
      <c r="A294" s="173"/>
      <c r="B294" s="174"/>
      <c r="C294" s="175"/>
      <c r="D294" s="175"/>
      <c r="E294" s="176"/>
      <c r="F294" s="176"/>
      <c r="G294" s="177"/>
      <c r="H294" s="178"/>
      <c r="I294" s="179"/>
      <c r="J294" s="180"/>
      <c r="K294" s="181"/>
    </row>
    <row r="295" ht="22.5" customHeight="1">
      <c r="A295" s="173"/>
      <c r="B295" s="174"/>
      <c r="C295" s="175"/>
      <c r="D295" s="175"/>
      <c r="E295" s="176"/>
      <c r="F295" s="176"/>
      <c r="G295" s="177"/>
      <c r="H295" s="178"/>
      <c r="I295" s="179"/>
      <c r="J295" s="180"/>
      <c r="K295" s="181"/>
    </row>
    <row r="296" ht="22.5" customHeight="1">
      <c r="A296" s="173"/>
      <c r="B296" s="174"/>
      <c r="C296" s="175"/>
      <c r="D296" s="175"/>
      <c r="E296" s="176"/>
      <c r="F296" s="176"/>
      <c r="G296" s="177"/>
      <c r="H296" s="178"/>
      <c r="I296" s="179"/>
      <c r="J296" s="180"/>
      <c r="K296" s="181"/>
    </row>
    <row r="297" ht="22.5" customHeight="1">
      <c r="A297" s="173"/>
      <c r="B297" s="174"/>
      <c r="C297" s="175"/>
      <c r="D297" s="175"/>
      <c r="E297" s="176"/>
      <c r="F297" s="176"/>
      <c r="G297" s="177"/>
      <c r="H297" s="178"/>
      <c r="I297" s="179"/>
      <c r="J297" s="180"/>
      <c r="K297" s="181"/>
    </row>
    <row r="298" ht="22.5" customHeight="1">
      <c r="A298" s="173"/>
      <c r="B298" s="174"/>
      <c r="C298" s="175"/>
      <c r="D298" s="175"/>
      <c r="E298" s="176"/>
      <c r="F298" s="176"/>
      <c r="G298" s="177"/>
      <c r="H298" s="178"/>
      <c r="I298" s="179"/>
      <c r="J298" s="180"/>
      <c r="K298" s="181"/>
    </row>
    <row r="299" ht="22.5" customHeight="1">
      <c r="A299" s="173"/>
      <c r="B299" s="174"/>
      <c r="C299" s="175"/>
      <c r="D299" s="175"/>
      <c r="E299" s="176"/>
      <c r="F299" s="176"/>
      <c r="G299" s="177"/>
      <c r="H299" s="178"/>
      <c r="I299" s="179"/>
      <c r="J299" s="180"/>
      <c r="K299" s="181"/>
    </row>
    <row r="300" ht="22.5" customHeight="1">
      <c r="A300" s="173"/>
      <c r="B300" s="174"/>
      <c r="C300" s="175"/>
      <c r="D300" s="175"/>
      <c r="E300" s="176"/>
      <c r="F300" s="176"/>
      <c r="G300" s="177"/>
      <c r="H300" s="178"/>
      <c r="I300" s="179"/>
      <c r="J300" s="180"/>
      <c r="K300" s="181"/>
    </row>
    <row r="301" ht="22.5" customHeight="1">
      <c r="A301" s="173"/>
      <c r="B301" s="174"/>
      <c r="C301" s="175"/>
      <c r="D301" s="175"/>
      <c r="E301" s="176"/>
      <c r="F301" s="176"/>
      <c r="G301" s="177"/>
      <c r="H301" s="178"/>
      <c r="I301" s="179"/>
      <c r="J301" s="180"/>
      <c r="K301" s="181"/>
    </row>
    <row r="302" ht="22.5" customHeight="1">
      <c r="A302" s="173"/>
      <c r="B302" s="174"/>
      <c r="C302" s="175"/>
      <c r="D302" s="175"/>
      <c r="E302" s="176"/>
      <c r="F302" s="176"/>
      <c r="G302" s="177"/>
      <c r="H302" s="178"/>
      <c r="I302" s="179"/>
      <c r="J302" s="180"/>
      <c r="K302" s="181"/>
    </row>
    <row r="303" ht="22.5" customHeight="1">
      <c r="A303" s="173"/>
      <c r="B303" s="174"/>
      <c r="C303" s="175"/>
      <c r="D303" s="175"/>
      <c r="E303" s="176"/>
      <c r="F303" s="176"/>
      <c r="G303" s="177"/>
      <c r="H303" s="178"/>
      <c r="I303" s="179"/>
      <c r="J303" s="180"/>
      <c r="K303" s="181"/>
    </row>
    <row r="304" ht="22.5" customHeight="1">
      <c r="A304" s="173"/>
      <c r="B304" s="174"/>
      <c r="C304" s="175"/>
      <c r="D304" s="175"/>
      <c r="E304" s="176"/>
      <c r="F304" s="176"/>
      <c r="G304" s="177"/>
      <c r="H304" s="178"/>
      <c r="I304" s="179"/>
      <c r="J304" s="180"/>
      <c r="K304" s="181"/>
    </row>
    <row r="305" ht="22.5" customHeight="1">
      <c r="A305" s="173"/>
      <c r="B305" s="174"/>
      <c r="C305" s="175"/>
      <c r="D305" s="175"/>
      <c r="E305" s="176"/>
      <c r="F305" s="176"/>
      <c r="G305" s="177"/>
      <c r="H305" s="178"/>
      <c r="I305" s="179"/>
      <c r="J305" s="180"/>
      <c r="K305" s="181"/>
    </row>
    <row r="306" ht="22.5" customHeight="1">
      <c r="A306" s="173"/>
      <c r="B306" s="174"/>
      <c r="C306" s="175"/>
      <c r="D306" s="175"/>
      <c r="E306" s="176"/>
      <c r="F306" s="176"/>
      <c r="G306" s="177"/>
      <c r="H306" s="178"/>
      <c r="I306" s="179"/>
      <c r="J306" s="180"/>
      <c r="K306" s="181"/>
    </row>
    <row r="307" ht="22.5" customHeight="1">
      <c r="A307" s="173"/>
      <c r="B307" s="174"/>
      <c r="C307" s="175"/>
      <c r="D307" s="175"/>
      <c r="E307" s="176"/>
      <c r="F307" s="176"/>
      <c r="G307" s="177"/>
      <c r="H307" s="178"/>
      <c r="I307" s="179"/>
      <c r="J307" s="180"/>
      <c r="K307" s="181"/>
    </row>
    <row r="308" ht="22.5" customHeight="1">
      <c r="A308" s="173"/>
      <c r="B308" s="174"/>
      <c r="C308" s="175"/>
      <c r="D308" s="175"/>
      <c r="E308" s="176"/>
      <c r="F308" s="176"/>
      <c r="G308" s="177"/>
      <c r="H308" s="178"/>
      <c r="I308" s="179"/>
      <c r="J308" s="180"/>
      <c r="K308" s="181"/>
    </row>
    <row r="309" ht="22.5" customHeight="1">
      <c r="A309" s="173"/>
      <c r="B309" s="174"/>
      <c r="C309" s="175"/>
      <c r="D309" s="175"/>
      <c r="E309" s="176"/>
      <c r="F309" s="176"/>
      <c r="G309" s="177"/>
      <c r="H309" s="178"/>
      <c r="I309" s="179"/>
      <c r="J309" s="180"/>
      <c r="K309" s="181"/>
    </row>
    <row r="310" ht="22.5" customHeight="1">
      <c r="A310" s="173"/>
      <c r="B310" s="174"/>
      <c r="C310" s="175"/>
      <c r="D310" s="175"/>
      <c r="E310" s="176"/>
      <c r="F310" s="176"/>
      <c r="G310" s="177"/>
      <c r="H310" s="178"/>
      <c r="I310" s="179"/>
      <c r="J310" s="180"/>
      <c r="K310" s="181"/>
    </row>
    <row r="311" ht="22.5" customHeight="1">
      <c r="A311" s="173"/>
      <c r="B311" s="174"/>
      <c r="C311" s="175"/>
      <c r="D311" s="175"/>
      <c r="E311" s="176"/>
      <c r="F311" s="176"/>
      <c r="G311" s="177"/>
      <c r="H311" s="178"/>
      <c r="I311" s="179"/>
      <c r="J311" s="180"/>
      <c r="K311" s="181"/>
    </row>
    <row r="312" ht="22.5" customHeight="1">
      <c r="A312" s="173"/>
      <c r="B312" s="174"/>
      <c r="C312" s="175"/>
      <c r="D312" s="175"/>
      <c r="E312" s="176"/>
      <c r="F312" s="176"/>
      <c r="G312" s="177"/>
      <c r="H312" s="178"/>
      <c r="I312" s="179"/>
      <c r="J312" s="180"/>
      <c r="K312" s="181"/>
    </row>
    <row r="313" ht="22.5" customHeight="1">
      <c r="A313" s="173"/>
      <c r="B313" s="174"/>
      <c r="C313" s="175"/>
      <c r="D313" s="175"/>
      <c r="E313" s="176"/>
      <c r="F313" s="176"/>
      <c r="G313" s="177"/>
      <c r="H313" s="178"/>
      <c r="I313" s="179"/>
      <c r="J313" s="180"/>
      <c r="K313" s="181"/>
    </row>
    <row r="314" ht="22.5" customHeight="1">
      <c r="A314" s="173"/>
      <c r="B314" s="174"/>
      <c r="C314" s="175"/>
      <c r="D314" s="175"/>
      <c r="E314" s="176"/>
      <c r="F314" s="176"/>
      <c r="G314" s="177"/>
      <c r="H314" s="178"/>
      <c r="I314" s="179"/>
      <c r="J314" s="180"/>
      <c r="K314" s="181"/>
    </row>
    <row r="315" ht="22.5" customHeight="1">
      <c r="A315" s="173"/>
      <c r="B315" s="174"/>
      <c r="C315" s="175"/>
      <c r="D315" s="175"/>
      <c r="E315" s="176"/>
      <c r="F315" s="176"/>
      <c r="G315" s="177"/>
      <c r="H315" s="178"/>
      <c r="I315" s="179"/>
      <c r="J315" s="180"/>
      <c r="K315" s="181"/>
    </row>
    <row r="316" ht="22.5" customHeight="1">
      <c r="A316" s="173"/>
      <c r="B316" s="174"/>
      <c r="C316" s="175"/>
      <c r="D316" s="175"/>
      <c r="E316" s="176"/>
      <c r="F316" s="176"/>
      <c r="G316" s="177"/>
      <c r="H316" s="178"/>
      <c r="I316" s="179"/>
      <c r="J316" s="180"/>
      <c r="K316" s="181"/>
    </row>
    <row r="317" ht="22.5" customHeight="1">
      <c r="A317" s="173"/>
      <c r="B317" s="174"/>
      <c r="C317" s="175"/>
      <c r="D317" s="175"/>
      <c r="E317" s="176"/>
      <c r="F317" s="176"/>
      <c r="G317" s="177"/>
      <c r="H317" s="178"/>
      <c r="I317" s="179"/>
      <c r="J317" s="180"/>
      <c r="K317" s="181"/>
    </row>
    <row r="318" ht="22.5" customHeight="1">
      <c r="A318" s="173"/>
      <c r="B318" s="174"/>
      <c r="C318" s="175"/>
      <c r="D318" s="175"/>
      <c r="E318" s="176"/>
      <c r="F318" s="176"/>
      <c r="G318" s="177"/>
      <c r="H318" s="178"/>
      <c r="I318" s="179"/>
      <c r="J318" s="180"/>
      <c r="K318" s="181"/>
    </row>
    <row r="319" ht="22.5" customHeight="1">
      <c r="A319" s="173"/>
      <c r="B319" s="174"/>
      <c r="C319" s="175"/>
      <c r="D319" s="175"/>
      <c r="E319" s="176"/>
      <c r="F319" s="176"/>
      <c r="G319" s="177"/>
      <c r="H319" s="178"/>
      <c r="I319" s="179"/>
      <c r="J319" s="180"/>
      <c r="K319" s="181"/>
    </row>
    <row r="320" ht="22.5" customHeight="1">
      <c r="A320" s="173"/>
      <c r="B320" s="174"/>
      <c r="C320" s="175"/>
      <c r="D320" s="175"/>
      <c r="E320" s="176"/>
      <c r="F320" s="176"/>
      <c r="G320" s="177"/>
      <c r="H320" s="178"/>
      <c r="I320" s="179"/>
      <c r="J320" s="180"/>
      <c r="K320" s="181"/>
    </row>
    <row r="321" ht="22.5" customHeight="1">
      <c r="A321" s="173"/>
      <c r="B321" s="174"/>
      <c r="C321" s="175"/>
      <c r="D321" s="175"/>
      <c r="E321" s="176"/>
      <c r="F321" s="176"/>
      <c r="G321" s="177"/>
      <c r="H321" s="178"/>
      <c r="I321" s="179"/>
      <c r="J321" s="180"/>
      <c r="K321" s="181"/>
    </row>
    <row r="322" ht="22.5" customHeight="1">
      <c r="A322" s="173"/>
      <c r="B322" s="174"/>
      <c r="C322" s="175"/>
      <c r="D322" s="175"/>
      <c r="E322" s="176"/>
      <c r="F322" s="176"/>
      <c r="G322" s="177"/>
      <c r="H322" s="178"/>
      <c r="I322" s="179"/>
      <c r="J322" s="180"/>
      <c r="K322" s="181"/>
    </row>
    <row r="323" ht="22.5" customHeight="1">
      <c r="A323" s="173"/>
      <c r="B323" s="174"/>
      <c r="C323" s="175"/>
      <c r="D323" s="175"/>
      <c r="E323" s="176"/>
      <c r="F323" s="176"/>
      <c r="G323" s="177"/>
      <c r="H323" s="178"/>
      <c r="I323" s="179"/>
      <c r="J323" s="180"/>
      <c r="K323" s="181"/>
    </row>
    <row r="324" ht="22.5" customHeight="1">
      <c r="A324" s="173"/>
      <c r="B324" s="174"/>
      <c r="C324" s="175"/>
      <c r="D324" s="175"/>
      <c r="E324" s="176"/>
      <c r="F324" s="176"/>
      <c r="G324" s="177"/>
      <c r="H324" s="178"/>
      <c r="I324" s="179"/>
      <c r="J324" s="180"/>
      <c r="K324" s="181"/>
    </row>
    <row r="325" ht="22.5" customHeight="1">
      <c r="A325" s="173"/>
      <c r="B325" s="174"/>
      <c r="C325" s="175"/>
      <c r="D325" s="175"/>
      <c r="E325" s="176"/>
      <c r="F325" s="176"/>
      <c r="G325" s="177"/>
      <c r="H325" s="178"/>
      <c r="I325" s="179"/>
      <c r="J325" s="180"/>
      <c r="K325" s="181"/>
    </row>
    <row r="326" ht="22.5" customHeight="1">
      <c r="A326" s="173"/>
      <c r="B326" s="174"/>
      <c r="C326" s="175"/>
      <c r="D326" s="175"/>
      <c r="E326" s="176"/>
      <c r="F326" s="176"/>
      <c r="G326" s="177"/>
      <c r="H326" s="178"/>
      <c r="I326" s="179"/>
      <c r="J326" s="180"/>
      <c r="K326" s="181"/>
    </row>
    <row r="327" ht="22.5" customHeight="1">
      <c r="A327" s="173"/>
      <c r="B327" s="174"/>
      <c r="C327" s="175"/>
      <c r="D327" s="175"/>
      <c r="E327" s="176"/>
      <c r="F327" s="176"/>
      <c r="G327" s="177"/>
      <c r="H327" s="178"/>
      <c r="I327" s="179"/>
      <c r="J327" s="180"/>
      <c r="K327" s="181"/>
    </row>
    <row r="328" ht="22.5" customHeight="1">
      <c r="A328" s="173"/>
      <c r="B328" s="174"/>
      <c r="C328" s="175"/>
      <c r="D328" s="175"/>
      <c r="E328" s="176"/>
      <c r="F328" s="176"/>
      <c r="G328" s="177"/>
      <c r="H328" s="178"/>
      <c r="I328" s="179"/>
      <c r="J328" s="180"/>
      <c r="K328" s="181"/>
    </row>
    <row r="329" ht="22.5" customHeight="1">
      <c r="A329" s="173"/>
      <c r="B329" s="174"/>
      <c r="C329" s="175"/>
      <c r="D329" s="175"/>
      <c r="E329" s="176"/>
      <c r="F329" s="176"/>
      <c r="G329" s="177"/>
      <c r="H329" s="178"/>
      <c r="I329" s="179"/>
      <c r="J329" s="180"/>
      <c r="K329" s="181"/>
    </row>
    <row r="330" ht="22.5" customHeight="1">
      <c r="A330" s="173"/>
      <c r="B330" s="174"/>
      <c r="C330" s="175"/>
      <c r="D330" s="175"/>
      <c r="E330" s="176"/>
      <c r="F330" s="176"/>
      <c r="G330" s="177"/>
      <c r="H330" s="178"/>
      <c r="I330" s="179"/>
      <c r="J330" s="180"/>
      <c r="K330" s="181"/>
    </row>
    <row r="331" ht="22.5" customHeight="1">
      <c r="A331" s="173"/>
      <c r="B331" s="174"/>
      <c r="C331" s="175"/>
      <c r="D331" s="175"/>
      <c r="E331" s="176"/>
      <c r="F331" s="176"/>
      <c r="G331" s="177"/>
      <c r="H331" s="178"/>
      <c r="I331" s="179"/>
      <c r="J331" s="180"/>
      <c r="K331" s="181"/>
    </row>
    <row r="332" ht="22.5" customHeight="1">
      <c r="A332" s="173"/>
      <c r="B332" s="174"/>
      <c r="C332" s="175"/>
      <c r="D332" s="175"/>
      <c r="E332" s="176"/>
      <c r="F332" s="176"/>
      <c r="G332" s="177"/>
      <c r="H332" s="178"/>
      <c r="I332" s="179"/>
      <c r="J332" s="180"/>
      <c r="K332" s="181"/>
    </row>
    <row r="333" ht="22.5" customHeight="1">
      <c r="A333" s="173"/>
      <c r="B333" s="174"/>
      <c r="C333" s="175"/>
      <c r="D333" s="175"/>
      <c r="E333" s="176"/>
      <c r="F333" s="176"/>
      <c r="G333" s="177"/>
      <c r="H333" s="178"/>
      <c r="I333" s="179"/>
      <c r="J333" s="180"/>
      <c r="K333" s="181"/>
    </row>
    <row r="334" ht="22.5" customHeight="1">
      <c r="A334" s="173"/>
      <c r="B334" s="174"/>
      <c r="C334" s="175"/>
      <c r="D334" s="175"/>
      <c r="E334" s="176"/>
      <c r="F334" s="176"/>
      <c r="G334" s="177"/>
      <c r="H334" s="178"/>
      <c r="I334" s="179"/>
      <c r="J334" s="180"/>
      <c r="K334" s="181"/>
    </row>
    <row r="335" ht="22.5" customHeight="1">
      <c r="A335" s="173"/>
      <c r="B335" s="174"/>
      <c r="C335" s="175"/>
      <c r="D335" s="175"/>
      <c r="E335" s="176"/>
      <c r="F335" s="176"/>
      <c r="G335" s="177"/>
      <c r="H335" s="178"/>
      <c r="I335" s="179"/>
      <c r="J335" s="180"/>
      <c r="K335" s="181"/>
    </row>
    <row r="336" ht="22.5" customHeight="1">
      <c r="A336" s="173"/>
      <c r="B336" s="174"/>
      <c r="C336" s="175"/>
      <c r="D336" s="175"/>
      <c r="E336" s="176"/>
      <c r="F336" s="176"/>
      <c r="G336" s="177"/>
      <c r="H336" s="178"/>
      <c r="I336" s="179"/>
      <c r="J336" s="180"/>
      <c r="K336" s="181"/>
    </row>
    <row r="337" ht="22.5" customHeight="1">
      <c r="A337" s="173"/>
      <c r="B337" s="174"/>
      <c r="C337" s="175"/>
      <c r="D337" s="175"/>
      <c r="E337" s="176"/>
      <c r="F337" s="176"/>
      <c r="G337" s="177"/>
      <c r="H337" s="178"/>
      <c r="I337" s="179"/>
      <c r="J337" s="180"/>
      <c r="K337" s="181"/>
    </row>
    <row r="338" ht="22.5" customHeight="1">
      <c r="A338" s="173"/>
      <c r="B338" s="174"/>
      <c r="C338" s="175"/>
      <c r="D338" s="175"/>
      <c r="E338" s="176"/>
      <c r="F338" s="176"/>
      <c r="G338" s="177"/>
      <c r="H338" s="178"/>
      <c r="I338" s="179"/>
      <c r="J338" s="180"/>
      <c r="K338" s="181"/>
    </row>
    <row r="339" ht="22.5" customHeight="1">
      <c r="A339" s="173"/>
      <c r="B339" s="174"/>
      <c r="C339" s="175"/>
      <c r="D339" s="175"/>
      <c r="E339" s="176"/>
      <c r="F339" s="176"/>
      <c r="G339" s="177"/>
      <c r="H339" s="178"/>
      <c r="I339" s="179"/>
      <c r="J339" s="180"/>
      <c r="K339" s="181"/>
    </row>
    <row r="340" ht="22.5" customHeight="1">
      <c r="A340" s="173"/>
      <c r="B340" s="174"/>
      <c r="C340" s="175"/>
      <c r="D340" s="175"/>
      <c r="E340" s="176"/>
      <c r="F340" s="176"/>
      <c r="G340" s="177"/>
      <c r="H340" s="178"/>
      <c r="I340" s="179"/>
      <c r="J340" s="180"/>
      <c r="K340" s="181"/>
    </row>
    <row r="341" ht="22.5" customHeight="1">
      <c r="A341" s="173"/>
      <c r="B341" s="174"/>
      <c r="C341" s="175"/>
      <c r="D341" s="175"/>
      <c r="E341" s="176"/>
      <c r="F341" s="176"/>
      <c r="G341" s="177"/>
      <c r="H341" s="178"/>
      <c r="I341" s="179"/>
      <c r="J341" s="180"/>
      <c r="K341" s="181"/>
    </row>
    <row r="342" ht="22.5" customHeight="1">
      <c r="A342" s="173"/>
      <c r="B342" s="174"/>
      <c r="C342" s="175"/>
      <c r="D342" s="175"/>
      <c r="E342" s="176"/>
      <c r="F342" s="176"/>
      <c r="G342" s="177"/>
      <c r="H342" s="178"/>
      <c r="I342" s="179"/>
      <c r="J342" s="180"/>
      <c r="K342" s="181"/>
    </row>
    <row r="343" ht="22.5" customHeight="1">
      <c r="A343" s="173"/>
      <c r="B343" s="174"/>
      <c r="C343" s="175"/>
      <c r="D343" s="175"/>
      <c r="E343" s="176"/>
      <c r="F343" s="176"/>
      <c r="G343" s="177"/>
      <c r="H343" s="178"/>
      <c r="I343" s="179"/>
      <c r="J343" s="180"/>
      <c r="K343" s="181"/>
    </row>
    <row r="344" ht="22.5" customHeight="1">
      <c r="A344" s="173"/>
      <c r="B344" s="174"/>
      <c r="C344" s="175"/>
      <c r="D344" s="175"/>
      <c r="E344" s="176"/>
      <c r="F344" s="176"/>
      <c r="G344" s="177"/>
      <c r="H344" s="178"/>
      <c r="I344" s="179"/>
      <c r="J344" s="180"/>
      <c r="K344" s="181"/>
    </row>
    <row r="345" ht="22.5" customHeight="1">
      <c r="A345" s="173"/>
      <c r="B345" s="174"/>
      <c r="C345" s="175"/>
      <c r="D345" s="175"/>
      <c r="E345" s="176"/>
      <c r="F345" s="176"/>
      <c r="G345" s="177"/>
      <c r="H345" s="178"/>
      <c r="I345" s="179"/>
      <c r="J345" s="180"/>
      <c r="K345" s="181"/>
    </row>
    <row r="346" ht="22.5" customHeight="1">
      <c r="A346" s="173"/>
      <c r="B346" s="174"/>
      <c r="C346" s="175"/>
      <c r="D346" s="175"/>
      <c r="E346" s="176"/>
      <c r="F346" s="176"/>
      <c r="G346" s="177"/>
      <c r="H346" s="178"/>
      <c r="I346" s="179"/>
      <c r="J346" s="180"/>
      <c r="K346" s="181"/>
    </row>
    <row r="347" ht="22.5" customHeight="1">
      <c r="A347" s="173"/>
      <c r="B347" s="174"/>
      <c r="C347" s="175"/>
      <c r="D347" s="175"/>
      <c r="E347" s="176"/>
      <c r="F347" s="176"/>
      <c r="G347" s="177"/>
      <c r="H347" s="178"/>
      <c r="I347" s="179"/>
      <c r="J347" s="180"/>
      <c r="K347" s="181"/>
    </row>
    <row r="348" ht="22.5" customHeight="1">
      <c r="A348" s="173"/>
      <c r="B348" s="174"/>
      <c r="C348" s="175"/>
      <c r="D348" s="175"/>
      <c r="E348" s="176"/>
      <c r="F348" s="176"/>
      <c r="G348" s="177"/>
      <c r="H348" s="178"/>
      <c r="I348" s="179"/>
      <c r="J348" s="180"/>
      <c r="K348" s="181"/>
    </row>
    <row r="349" ht="22.5" customHeight="1">
      <c r="A349" s="173"/>
      <c r="B349" s="174"/>
      <c r="C349" s="175"/>
      <c r="D349" s="175"/>
      <c r="E349" s="176"/>
      <c r="F349" s="176"/>
      <c r="G349" s="177"/>
      <c r="H349" s="178"/>
      <c r="I349" s="179"/>
      <c r="J349" s="180"/>
      <c r="K349" s="181"/>
    </row>
    <row r="350" ht="22.5" customHeight="1">
      <c r="A350" s="173"/>
      <c r="B350" s="174"/>
      <c r="C350" s="175"/>
      <c r="D350" s="175"/>
      <c r="E350" s="176"/>
      <c r="F350" s="176"/>
      <c r="G350" s="177"/>
      <c r="H350" s="178"/>
      <c r="I350" s="179"/>
      <c r="J350" s="180"/>
      <c r="K350" s="181"/>
    </row>
    <row r="351" ht="22.5" customHeight="1">
      <c r="A351" s="173"/>
      <c r="B351" s="174"/>
      <c r="C351" s="175"/>
      <c r="D351" s="175"/>
      <c r="E351" s="176"/>
      <c r="F351" s="176"/>
      <c r="G351" s="177"/>
      <c r="H351" s="178"/>
      <c r="I351" s="179"/>
      <c r="J351" s="180"/>
      <c r="K351" s="181"/>
    </row>
    <row r="352" ht="22.5" customHeight="1">
      <c r="A352" s="173"/>
      <c r="B352" s="174"/>
      <c r="C352" s="175"/>
      <c r="D352" s="175"/>
      <c r="E352" s="176"/>
      <c r="F352" s="176"/>
      <c r="G352" s="177"/>
      <c r="H352" s="178"/>
      <c r="I352" s="179"/>
      <c r="J352" s="180"/>
      <c r="K352" s="181"/>
    </row>
    <row r="353" ht="22.5" customHeight="1">
      <c r="A353" s="173"/>
      <c r="B353" s="174"/>
      <c r="C353" s="175"/>
      <c r="D353" s="175"/>
      <c r="E353" s="176"/>
      <c r="F353" s="176"/>
      <c r="G353" s="177"/>
      <c r="H353" s="178"/>
      <c r="I353" s="179"/>
      <c r="J353" s="180"/>
      <c r="K353" s="181"/>
    </row>
    <row r="354" ht="22.5" customHeight="1">
      <c r="A354" s="173"/>
      <c r="B354" s="174"/>
      <c r="C354" s="175"/>
      <c r="D354" s="175"/>
      <c r="E354" s="176"/>
      <c r="F354" s="176"/>
      <c r="G354" s="177"/>
      <c r="H354" s="178"/>
      <c r="I354" s="179"/>
      <c r="J354" s="180"/>
      <c r="K354" s="181"/>
    </row>
    <row r="355" ht="22.5" customHeight="1">
      <c r="A355" s="173"/>
      <c r="B355" s="174"/>
      <c r="C355" s="175"/>
      <c r="D355" s="175"/>
      <c r="E355" s="176"/>
      <c r="F355" s="176"/>
      <c r="G355" s="177"/>
      <c r="H355" s="178"/>
      <c r="I355" s="179"/>
      <c r="J355" s="180"/>
      <c r="K355" s="181"/>
    </row>
    <row r="356" ht="22.5" customHeight="1">
      <c r="A356" s="173"/>
      <c r="B356" s="174"/>
      <c r="C356" s="175"/>
      <c r="D356" s="175"/>
      <c r="E356" s="176"/>
      <c r="F356" s="176"/>
      <c r="G356" s="177"/>
      <c r="H356" s="178"/>
      <c r="I356" s="179"/>
      <c r="J356" s="180"/>
      <c r="K356" s="181"/>
    </row>
    <row r="357" ht="22.5" customHeight="1">
      <c r="A357" s="173"/>
      <c r="B357" s="174"/>
      <c r="C357" s="175"/>
      <c r="D357" s="175"/>
      <c r="E357" s="176"/>
      <c r="F357" s="176"/>
      <c r="G357" s="177"/>
      <c r="H357" s="178"/>
      <c r="I357" s="179"/>
      <c r="J357" s="180"/>
      <c r="K357" s="181"/>
    </row>
    <row r="358" ht="22.5" customHeight="1">
      <c r="A358" s="173"/>
      <c r="B358" s="174"/>
      <c r="C358" s="175"/>
      <c r="D358" s="175"/>
      <c r="E358" s="176"/>
      <c r="F358" s="176"/>
      <c r="G358" s="177"/>
      <c r="H358" s="178"/>
      <c r="I358" s="179"/>
      <c r="J358" s="180"/>
      <c r="K358" s="181"/>
    </row>
    <row r="359" ht="22.5" customHeight="1">
      <c r="A359" s="173"/>
      <c r="B359" s="174"/>
      <c r="C359" s="175"/>
      <c r="D359" s="175"/>
      <c r="E359" s="176"/>
      <c r="F359" s="176"/>
      <c r="G359" s="177"/>
      <c r="H359" s="178"/>
      <c r="I359" s="179"/>
      <c r="J359" s="180"/>
      <c r="K359" s="181"/>
    </row>
    <row r="360" ht="22.5" customHeight="1">
      <c r="A360" s="173"/>
      <c r="B360" s="174"/>
      <c r="C360" s="175"/>
      <c r="D360" s="175"/>
      <c r="E360" s="176"/>
      <c r="F360" s="176"/>
      <c r="G360" s="177"/>
      <c r="H360" s="178"/>
      <c r="I360" s="179"/>
      <c r="J360" s="180"/>
      <c r="K360" s="181"/>
    </row>
    <row r="361" ht="22.5" customHeight="1">
      <c r="A361" s="173"/>
      <c r="B361" s="174"/>
      <c r="C361" s="175"/>
      <c r="D361" s="175"/>
      <c r="E361" s="176"/>
      <c r="F361" s="176"/>
      <c r="G361" s="177"/>
      <c r="H361" s="178"/>
      <c r="I361" s="179"/>
      <c r="J361" s="180"/>
      <c r="K361" s="181"/>
    </row>
    <row r="362" ht="22.5" customHeight="1">
      <c r="A362" s="173"/>
      <c r="B362" s="174"/>
      <c r="C362" s="175"/>
      <c r="D362" s="175"/>
      <c r="E362" s="176"/>
      <c r="F362" s="176"/>
      <c r="G362" s="177"/>
      <c r="H362" s="178"/>
      <c r="I362" s="179"/>
      <c r="J362" s="180"/>
      <c r="K362" s="181"/>
    </row>
    <row r="363" ht="22.5" customHeight="1">
      <c r="A363" s="173"/>
      <c r="B363" s="174"/>
      <c r="C363" s="175"/>
      <c r="D363" s="175"/>
      <c r="E363" s="176"/>
      <c r="F363" s="176"/>
      <c r="G363" s="177"/>
      <c r="H363" s="178"/>
      <c r="I363" s="179"/>
      <c r="J363" s="180"/>
      <c r="K363" s="181"/>
    </row>
    <row r="364" ht="22.5" customHeight="1">
      <c r="A364" s="173"/>
      <c r="B364" s="174"/>
      <c r="C364" s="175"/>
      <c r="D364" s="175"/>
      <c r="E364" s="176"/>
      <c r="F364" s="176"/>
      <c r="G364" s="177"/>
      <c r="H364" s="178"/>
      <c r="I364" s="179"/>
      <c r="J364" s="180"/>
      <c r="K364" s="181"/>
    </row>
    <row r="365" ht="22.5" customHeight="1">
      <c r="A365" s="173"/>
      <c r="B365" s="174"/>
      <c r="C365" s="175"/>
      <c r="D365" s="175"/>
      <c r="E365" s="176"/>
      <c r="F365" s="176"/>
      <c r="G365" s="177"/>
      <c r="H365" s="178"/>
      <c r="I365" s="179"/>
      <c r="J365" s="180"/>
      <c r="K365" s="181"/>
    </row>
    <row r="366" ht="22.5" customHeight="1">
      <c r="A366" s="173"/>
      <c r="B366" s="174"/>
      <c r="C366" s="175"/>
      <c r="D366" s="175"/>
      <c r="E366" s="176"/>
      <c r="F366" s="176"/>
      <c r="G366" s="177"/>
      <c r="H366" s="178"/>
      <c r="I366" s="179"/>
      <c r="J366" s="180"/>
      <c r="K366" s="181"/>
    </row>
    <row r="367" ht="22.5" customHeight="1">
      <c r="A367" s="173"/>
      <c r="B367" s="174"/>
      <c r="C367" s="175"/>
      <c r="D367" s="175"/>
      <c r="E367" s="176"/>
      <c r="F367" s="176"/>
      <c r="G367" s="177"/>
      <c r="H367" s="178"/>
      <c r="I367" s="179"/>
      <c r="J367" s="180"/>
      <c r="K367" s="181"/>
    </row>
    <row r="368" ht="22.5" customHeight="1">
      <c r="A368" s="173"/>
      <c r="B368" s="174"/>
      <c r="C368" s="175"/>
      <c r="D368" s="175"/>
      <c r="E368" s="176"/>
      <c r="F368" s="176"/>
      <c r="G368" s="177"/>
      <c r="H368" s="178"/>
      <c r="I368" s="179"/>
      <c r="J368" s="180"/>
      <c r="K368" s="181"/>
    </row>
    <row r="369" ht="22.5" customHeight="1">
      <c r="A369" s="173"/>
      <c r="B369" s="174"/>
      <c r="C369" s="175"/>
      <c r="D369" s="175"/>
      <c r="E369" s="176"/>
      <c r="F369" s="176"/>
      <c r="G369" s="177"/>
      <c r="H369" s="178"/>
      <c r="I369" s="179"/>
      <c r="J369" s="180"/>
      <c r="K369" s="181"/>
    </row>
    <row r="370" ht="22.5" customHeight="1">
      <c r="A370" s="173"/>
      <c r="B370" s="174"/>
      <c r="C370" s="175"/>
      <c r="D370" s="175"/>
      <c r="E370" s="176"/>
      <c r="F370" s="176"/>
      <c r="G370" s="177"/>
      <c r="H370" s="178"/>
      <c r="I370" s="179"/>
      <c r="J370" s="180"/>
      <c r="K370" s="181"/>
    </row>
    <row r="371" ht="22.5" customHeight="1">
      <c r="A371" s="173"/>
      <c r="B371" s="174"/>
      <c r="C371" s="175"/>
      <c r="D371" s="175"/>
      <c r="E371" s="176"/>
      <c r="F371" s="176"/>
      <c r="G371" s="177"/>
      <c r="H371" s="178"/>
      <c r="I371" s="179"/>
      <c r="J371" s="180"/>
      <c r="K371" s="181"/>
    </row>
    <row r="372" ht="22.5" customHeight="1">
      <c r="A372" s="173"/>
      <c r="B372" s="174"/>
      <c r="C372" s="175"/>
      <c r="D372" s="175"/>
      <c r="E372" s="176"/>
      <c r="F372" s="176"/>
      <c r="G372" s="177"/>
      <c r="H372" s="178"/>
      <c r="I372" s="179"/>
      <c r="J372" s="180"/>
      <c r="K372" s="181"/>
    </row>
    <row r="373" ht="22.5" customHeight="1">
      <c r="A373" s="173"/>
      <c r="B373" s="174"/>
      <c r="C373" s="175"/>
      <c r="D373" s="175"/>
      <c r="E373" s="176"/>
      <c r="F373" s="176"/>
      <c r="G373" s="177"/>
      <c r="H373" s="178"/>
      <c r="I373" s="179"/>
      <c r="J373" s="180"/>
      <c r="K373" s="181"/>
    </row>
    <row r="374" ht="22.5" customHeight="1">
      <c r="A374" s="173"/>
      <c r="B374" s="174"/>
      <c r="C374" s="175"/>
      <c r="D374" s="175"/>
      <c r="E374" s="176"/>
      <c r="F374" s="176"/>
      <c r="G374" s="177"/>
      <c r="H374" s="178"/>
      <c r="I374" s="179"/>
      <c r="J374" s="180"/>
      <c r="K374" s="181"/>
    </row>
    <row r="375" ht="22.5" customHeight="1">
      <c r="A375" s="173"/>
      <c r="B375" s="174"/>
      <c r="C375" s="175"/>
      <c r="D375" s="175"/>
      <c r="E375" s="176"/>
      <c r="F375" s="176"/>
      <c r="G375" s="177"/>
      <c r="H375" s="178"/>
      <c r="I375" s="179"/>
      <c r="J375" s="180"/>
      <c r="K375" s="181"/>
    </row>
    <row r="376" ht="22.5" customHeight="1">
      <c r="A376" s="173"/>
      <c r="B376" s="174"/>
      <c r="C376" s="175"/>
      <c r="D376" s="175"/>
      <c r="E376" s="176"/>
      <c r="F376" s="176"/>
      <c r="G376" s="177"/>
      <c r="H376" s="178"/>
      <c r="I376" s="179"/>
      <c r="J376" s="180"/>
      <c r="K376" s="181"/>
    </row>
    <row r="377" ht="22.5" customHeight="1">
      <c r="A377" s="173"/>
      <c r="B377" s="174"/>
      <c r="C377" s="175"/>
      <c r="D377" s="175"/>
      <c r="E377" s="176"/>
      <c r="F377" s="176"/>
      <c r="G377" s="177"/>
      <c r="H377" s="178"/>
      <c r="I377" s="179"/>
      <c r="J377" s="180"/>
      <c r="K377" s="181"/>
    </row>
    <row r="378" ht="22.5" customHeight="1">
      <c r="A378" s="173"/>
      <c r="B378" s="174"/>
      <c r="C378" s="175"/>
      <c r="D378" s="175"/>
      <c r="E378" s="176"/>
      <c r="F378" s="176"/>
      <c r="G378" s="177"/>
      <c r="H378" s="178"/>
      <c r="I378" s="179"/>
      <c r="J378" s="180"/>
      <c r="K378" s="181"/>
    </row>
    <row r="379" ht="22.5" customHeight="1">
      <c r="A379" s="173"/>
      <c r="B379" s="174"/>
      <c r="C379" s="175"/>
      <c r="D379" s="175"/>
      <c r="E379" s="176"/>
      <c r="F379" s="176"/>
      <c r="G379" s="177"/>
      <c r="H379" s="178"/>
      <c r="I379" s="179"/>
      <c r="J379" s="180"/>
      <c r="K379" s="181"/>
    </row>
    <row r="380" ht="22.5" customHeight="1">
      <c r="A380" s="173"/>
      <c r="B380" s="174"/>
      <c r="C380" s="175"/>
      <c r="D380" s="175"/>
      <c r="E380" s="176"/>
      <c r="F380" s="176"/>
      <c r="G380" s="177"/>
      <c r="H380" s="178"/>
      <c r="I380" s="179"/>
      <c r="J380" s="180"/>
      <c r="K380" s="181"/>
    </row>
    <row r="381" ht="22.5" customHeight="1">
      <c r="A381" s="173"/>
      <c r="B381" s="174"/>
      <c r="C381" s="175"/>
      <c r="D381" s="175"/>
      <c r="E381" s="176"/>
      <c r="F381" s="176"/>
      <c r="G381" s="177"/>
      <c r="H381" s="178"/>
      <c r="I381" s="179"/>
      <c r="J381" s="180"/>
      <c r="K381" s="181"/>
    </row>
    <row r="382" ht="22.5" customHeight="1">
      <c r="A382" s="173"/>
      <c r="B382" s="174"/>
      <c r="C382" s="175"/>
      <c r="D382" s="175"/>
      <c r="E382" s="176"/>
      <c r="F382" s="176"/>
      <c r="G382" s="177"/>
      <c r="H382" s="178"/>
      <c r="I382" s="179"/>
      <c r="J382" s="180"/>
      <c r="K382" s="181"/>
    </row>
    <row r="383" ht="22.5" customHeight="1">
      <c r="A383" s="173"/>
      <c r="B383" s="174"/>
      <c r="C383" s="175"/>
      <c r="D383" s="175"/>
      <c r="E383" s="176"/>
      <c r="F383" s="176"/>
      <c r="G383" s="177"/>
      <c r="H383" s="178"/>
      <c r="I383" s="179"/>
      <c r="J383" s="180"/>
      <c r="K383" s="181"/>
    </row>
    <row r="384" ht="22.5" customHeight="1">
      <c r="A384" s="173"/>
      <c r="B384" s="174"/>
      <c r="C384" s="175"/>
      <c r="D384" s="175"/>
      <c r="E384" s="176"/>
      <c r="F384" s="176"/>
      <c r="G384" s="177"/>
      <c r="H384" s="178"/>
      <c r="I384" s="179"/>
      <c r="J384" s="180"/>
      <c r="K384" s="181"/>
    </row>
    <row r="385" ht="22.5" customHeight="1">
      <c r="A385" s="173"/>
      <c r="B385" s="174"/>
      <c r="C385" s="175"/>
      <c r="D385" s="175"/>
      <c r="E385" s="176"/>
      <c r="F385" s="176"/>
      <c r="G385" s="177"/>
      <c r="H385" s="178"/>
      <c r="I385" s="179"/>
      <c r="J385" s="180"/>
      <c r="K385" s="181"/>
    </row>
    <row r="386" ht="22.5" customHeight="1">
      <c r="A386" s="173"/>
      <c r="B386" s="174"/>
      <c r="C386" s="175"/>
      <c r="D386" s="175"/>
      <c r="E386" s="176"/>
      <c r="F386" s="176"/>
      <c r="G386" s="177"/>
      <c r="H386" s="178"/>
      <c r="I386" s="179"/>
      <c r="J386" s="180"/>
      <c r="K386" s="181"/>
    </row>
    <row r="387" ht="22.5" customHeight="1">
      <c r="A387" s="173"/>
      <c r="B387" s="174"/>
      <c r="C387" s="175"/>
      <c r="D387" s="175"/>
      <c r="E387" s="176"/>
      <c r="F387" s="176"/>
      <c r="G387" s="177"/>
      <c r="H387" s="178"/>
      <c r="I387" s="179"/>
      <c r="J387" s="180"/>
      <c r="K387" s="181"/>
    </row>
    <row r="388" ht="22.5" customHeight="1">
      <c r="A388" s="173"/>
      <c r="B388" s="174"/>
      <c r="C388" s="175"/>
      <c r="D388" s="175"/>
      <c r="E388" s="176"/>
      <c r="F388" s="176"/>
      <c r="G388" s="177"/>
      <c r="H388" s="178"/>
      <c r="I388" s="179"/>
      <c r="J388" s="180"/>
      <c r="K388" s="181"/>
    </row>
    <row r="389" ht="22.5" customHeight="1">
      <c r="A389" s="173"/>
      <c r="B389" s="174"/>
      <c r="C389" s="175"/>
      <c r="D389" s="175"/>
      <c r="E389" s="176"/>
      <c r="F389" s="176"/>
      <c r="G389" s="177"/>
      <c r="H389" s="178"/>
      <c r="I389" s="179"/>
      <c r="J389" s="180"/>
      <c r="K389" s="181"/>
    </row>
    <row r="390" ht="22.5" customHeight="1">
      <c r="A390" s="173"/>
      <c r="B390" s="174"/>
      <c r="C390" s="175"/>
      <c r="D390" s="175"/>
      <c r="E390" s="176"/>
      <c r="F390" s="176"/>
      <c r="G390" s="177"/>
      <c r="H390" s="178"/>
      <c r="I390" s="179"/>
      <c r="J390" s="180"/>
      <c r="K390" s="181"/>
    </row>
    <row r="391" ht="22.5" customHeight="1">
      <c r="A391" s="173"/>
      <c r="B391" s="174"/>
      <c r="C391" s="175"/>
      <c r="D391" s="175"/>
      <c r="E391" s="176"/>
      <c r="F391" s="176"/>
      <c r="G391" s="177"/>
      <c r="H391" s="178"/>
      <c r="I391" s="179"/>
      <c r="J391" s="180"/>
      <c r="K391" s="181"/>
    </row>
    <row r="392" ht="22.5" customHeight="1">
      <c r="A392" s="173"/>
      <c r="B392" s="174"/>
      <c r="C392" s="175"/>
      <c r="D392" s="175"/>
      <c r="E392" s="176"/>
      <c r="F392" s="176"/>
      <c r="G392" s="177"/>
      <c r="H392" s="178"/>
      <c r="I392" s="179"/>
      <c r="J392" s="180"/>
      <c r="K392" s="181"/>
    </row>
    <row r="393" ht="22.5" customHeight="1">
      <c r="A393" s="173"/>
      <c r="B393" s="174"/>
      <c r="C393" s="175"/>
      <c r="D393" s="175"/>
      <c r="E393" s="176"/>
      <c r="F393" s="176"/>
      <c r="G393" s="177"/>
      <c r="H393" s="178"/>
      <c r="I393" s="179"/>
      <c r="J393" s="180"/>
      <c r="K393" s="181"/>
    </row>
    <row r="394" ht="22.5" customHeight="1">
      <c r="A394" s="173"/>
      <c r="B394" s="174"/>
      <c r="C394" s="175"/>
      <c r="D394" s="175"/>
      <c r="E394" s="176"/>
      <c r="F394" s="176"/>
      <c r="G394" s="177"/>
      <c r="H394" s="178"/>
      <c r="I394" s="179"/>
      <c r="J394" s="180"/>
      <c r="K394" s="181"/>
    </row>
    <row r="395" ht="22.5" customHeight="1">
      <c r="A395" s="173"/>
      <c r="B395" s="174"/>
      <c r="C395" s="175"/>
      <c r="D395" s="175"/>
      <c r="E395" s="176"/>
      <c r="F395" s="176"/>
      <c r="G395" s="177"/>
      <c r="H395" s="178"/>
      <c r="I395" s="179"/>
      <c r="J395" s="180"/>
      <c r="K395" s="181"/>
    </row>
    <row r="396" ht="22.5" customHeight="1">
      <c r="A396" s="173"/>
      <c r="B396" s="174"/>
      <c r="C396" s="175"/>
      <c r="D396" s="175"/>
      <c r="E396" s="176"/>
      <c r="F396" s="176"/>
      <c r="G396" s="177"/>
      <c r="H396" s="178"/>
      <c r="I396" s="179"/>
      <c r="J396" s="180"/>
      <c r="K396" s="181"/>
    </row>
    <row r="397" ht="22.5" customHeight="1">
      <c r="A397" s="173"/>
      <c r="B397" s="174"/>
      <c r="C397" s="175"/>
      <c r="D397" s="175"/>
      <c r="E397" s="176"/>
      <c r="F397" s="176"/>
      <c r="G397" s="177"/>
      <c r="H397" s="178"/>
      <c r="I397" s="179"/>
      <c r="J397" s="180"/>
      <c r="K397" s="181"/>
    </row>
    <row r="398" ht="22.5" customHeight="1">
      <c r="A398" s="173"/>
      <c r="B398" s="174"/>
      <c r="C398" s="175"/>
      <c r="D398" s="175"/>
      <c r="E398" s="176"/>
      <c r="F398" s="176"/>
      <c r="G398" s="177"/>
      <c r="H398" s="178"/>
      <c r="I398" s="179"/>
      <c r="J398" s="180"/>
      <c r="K398" s="181"/>
    </row>
    <row r="399" ht="22.5" customHeight="1">
      <c r="A399" s="173"/>
      <c r="B399" s="174"/>
      <c r="C399" s="175"/>
      <c r="D399" s="175"/>
      <c r="E399" s="176"/>
      <c r="F399" s="176"/>
      <c r="G399" s="177"/>
      <c r="H399" s="178"/>
      <c r="I399" s="179"/>
      <c r="J399" s="180"/>
      <c r="K399" s="181"/>
    </row>
    <row r="400" ht="22.5" customHeight="1">
      <c r="A400" s="173"/>
      <c r="B400" s="174"/>
      <c r="C400" s="175"/>
      <c r="D400" s="175"/>
      <c r="E400" s="176"/>
      <c r="F400" s="176"/>
      <c r="G400" s="177"/>
      <c r="H400" s="178"/>
      <c r="I400" s="179"/>
      <c r="J400" s="180"/>
      <c r="K400" s="181"/>
    </row>
    <row r="401" ht="22.5" customHeight="1">
      <c r="A401" s="173"/>
      <c r="B401" s="174"/>
      <c r="C401" s="175"/>
      <c r="D401" s="175"/>
      <c r="E401" s="176"/>
      <c r="F401" s="176"/>
      <c r="G401" s="177"/>
      <c r="H401" s="178"/>
      <c r="I401" s="179"/>
      <c r="J401" s="180"/>
      <c r="K401" s="181"/>
    </row>
    <row r="402" ht="22.5" customHeight="1">
      <c r="A402" s="173"/>
      <c r="B402" s="174"/>
      <c r="C402" s="175"/>
      <c r="D402" s="175"/>
      <c r="E402" s="176"/>
      <c r="F402" s="176"/>
      <c r="G402" s="177"/>
      <c r="H402" s="178"/>
      <c r="I402" s="179"/>
      <c r="J402" s="180"/>
      <c r="K402" s="181"/>
    </row>
    <row r="403" ht="22.5" customHeight="1">
      <c r="A403" s="173"/>
      <c r="B403" s="174"/>
      <c r="C403" s="175"/>
      <c r="D403" s="175"/>
      <c r="E403" s="176"/>
      <c r="F403" s="176"/>
      <c r="G403" s="177"/>
      <c r="H403" s="178"/>
      <c r="I403" s="179"/>
      <c r="J403" s="180"/>
      <c r="K403" s="181"/>
    </row>
    <row r="404" ht="22.5" customHeight="1">
      <c r="A404" s="173"/>
      <c r="B404" s="174"/>
      <c r="C404" s="175"/>
      <c r="D404" s="175"/>
      <c r="E404" s="176"/>
      <c r="F404" s="176"/>
      <c r="G404" s="177"/>
      <c r="H404" s="178"/>
      <c r="I404" s="179"/>
      <c r="J404" s="180"/>
      <c r="K404" s="181"/>
    </row>
    <row r="405" ht="22.5" customHeight="1">
      <c r="A405" s="173"/>
      <c r="B405" s="174"/>
      <c r="C405" s="175"/>
      <c r="D405" s="175"/>
      <c r="E405" s="176"/>
      <c r="F405" s="176"/>
      <c r="G405" s="177"/>
      <c r="H405" s="178"/>
      <c r="I405" s="179"/>
      <c r="J405" s="180"/>
      <c r="K405" s="181"/>
    </row>
    <row r="406" ht="22.5" customHeight="1">
      <c r="A406" s="173"/>
      <c r="B406" s="174"/>
      <c r="C406" s="175"/>
      <c r="D406" s="175"/>
      <c r="E406" s="176"/>
      <c r="F406" s="176"/>
      <c r="G406" s="177"/>
      <c r="H406" s="178"/>
      <c r="I406" s="179"/>
      <c r="J406" s="180"/>
      <c r="K406" s="181"/>
    </row>
    <row r="407" ht="22.5" customHeight="1">
      <c r="A407" s="173"/>
      <c r="B407" s="174"/>
      <c r="C407" s="175"/>
      <c r="D407" s="175"/>
      <c r="E407" s="176"/>
      <c r="F407" s="176"/>
      <c r="G407" s="177"/>
      <c r="H407" s="178"/>
      <c r="I407" s="179"/>
      <c r="J407" s="180"/>
      <c r="K407" s="181"/>
    </row>
    <row r="408" ht="22.5" customHeight="1">
      <c r="A408" s="173"/>
      <c r="B408" s="174"/>
      <c r="C408" s="175"/>
      <c r="D408" s="175"/>
      <c r="E408" s="176"/>
      <c r="F408" s="176"/>
      <c r="G408" s="177"/>
      <c r="H408" s="178"/>
      <c r="I408" s="179"/>
      <c r="J408" s="180"/>
      <c r="K408" s="181"/>
    </row>
    <row r="409" ht="22.5" customHeight="1">
      <c r="A409" s="173"/>
      <c r="B409" s="174"/>
      <c r="C409" s="175"/>
      <c r="D409" s="175"/>
      <c r="E409" s="176"/>
      <c r="F409" s="176"/>
      <c r="G409" s="177"/>
      <c r="H409" s="178"/>
      <c r="I409" s="179"/>
      <c r="J409" s="180"/>
      <c r="K409" s="181"/>
    </row>
    <row r="410" ht="22.5" customHeight="1">
      <c r="A410" s="173"/>
      <c r="B410" s="174"/>
      <c r="C410" s="175"/>
      <c r="D410" s="175"/>
      <c r="E410" s="176"/>
      <c r="F410" s="176"/>
      <c r="G410" s="177"/>
      <c r="H410" s="178"/>
      <c r="I410" s="179"/>
      <c r="J410" s="180"/>
      <c r="K410" s="181"/>
    </row>
    <row r="411" ht="22.5" customHeight="1">
      <c r="A411" s="173"/>
      <c r="B411" s="174"/>
      <c r="C411" s="175"/>
      <c r="D411" s="175"/>
      <c r="E411" s="176"/>
      <c r="F411" s="176"/>
      <c r="G411" s="177"/>
      <c r="H411" s="178"/>
      <c r="I411" s="179"/>
      <c r="J411" s="180"/>
      <c r="K411" s="181"/>
    </row>
    <row r="412" ht="22.5" customHeight="1">
      <c r="A412" s="173"/>
      <c r="B412" s="174"/>
      <c r="C412" s="175"/>
      <c r="D412" s="175"/>
      <c r="E412" s="176"/>
      <c r="F412" s="176"/>
      <c r="G412" s="177"/>
      <c r="H412" s="178"/>
      <c r="I412" s="179"/>
      <c r="J412" s="180"/>
      <c r="K412" s="181"/>
    </row>
    <row r="413" ht="22.5" customHeight="1">
      <c r="A413" s="173"/>
      <c r="B413" s="174"/>
      <c r="C413" s="175"/>
      <c r="D413" s="175"/>
      <c r="E413" s="176"/>
      <c r="F413" s="176"/>
      <c r="G413" s="177"/>
      <c r="H413" s="178"/>
      <c r="I413" s="179"/>
      <c r="J413" s="180"/>
      <c r="K413" s="181"/>
    </row>
    <row r="414" ht="22.5" customHeight="1">
      <c r="A414" s="173"/>
      <c r="B414" s="174"/>
      <c r="C414" s="175"/>
      <c r="D414" s="175"/>
      <c r="E414" s="176"/>
      <c r="F414" s="176"/>
      <c r="G414" s="177"/>
      <c r="H414" s="178"/>
      <c r="I414" s="179"/>
      <c r="J414" s="180"/>
      <c r="K414" s="181"/>
    </row>
    <row r="415" ht="22.5" customHeight="1">
      <c r="A415" s="173"/>
      <c r="B415" s="174"/>
      <c r="C415" s="175"/>
      <c r="D415" s="175"/>
      <c r="E415" s="176"/>
      <c r="F415" s="176"/>
      <c r="G415" s="177"/>
      <c r="H415" s="178"/>
      <c r="I415" s="179"/>
      <c r="J415" s="180"/>
      <c r="K415" s="181"/>
    </row>
    <row r="416" ht="22.5" customHeight="1">
      <c r="A416" s="173"/>
      <c r="B416" s="174"/>
      <c r="C416" s="175"/>
      <c r="D416" s="175"/>
      <c r="E416" s="176"/>
      <c r="F416" s="176"/>
      <c r="G416" s="177"/>
      <c r="H416" s="178"/>
      <c r="I416" s="179"/>
      <c r="J416" s="180"/>
      <c r="K416" s="181"/>
    </row>
    <row r="417" ht="22.5" customHeight="1">
      <c r="A417" s="173"/>
      <c r="B417" s="174"/>
      <c r="C417" s="175"/>
      <c r="D417" s="175"/>
      <c r="E417" s="176"/>
      <c r="F417" s="176"/>
      <c r="G417" s="177"/>
      <c r="H417" s="178"/>
      <c r="I417" s="179"/>
      <c r="J417" s="180"/>
      <c r="K417" s="181"/>
    </row>
    <row r="418" ht="22.5" customHeight="1">
      <c r="A418" s="173"/>
      <c r="B418" s="174"/>
      <c r="C418" s="175"/>
      <c r="D418" s="175"/>
      <c r="E418" s="176"/>
      <c r="F418" s="176"/>
      <c r="G418" s="177"/>
      <c r="H418" s="178"/>
      <c r="I418" s="179"/>
      <c r="J418" s="180"/>
      <c r="K418" s="181"/>
    </row>
    <row r="419" ht="22.5" customHeight="1">
      <c r="A419" s="173"/>
      <c r="B419" s="174"/>
      <c r="C419" s="175"/>
      <c r="D419" s="175"/>
      <c r="E419" s="176"/>
      <c r="F419" s="176"/>
      <c r="G419" s="177"/>
      <c r="H419" s="178"/>
      <c r="I419" s="179"/>
      <c r="J419" s="180"/>
      <c r="K419" s="181"/>
    </row>
    <row r="420" ht="22.5" customHeight="1">
      <c r="A420" s="173"/>
      <c r="B420" s="174"/>
      <c r="C420" s="175"/>
      <c r="D420" s="175"/>
      <c r="E420" s="176"/>
      <c r="F420" s="176"/>
      <c r="G420" s="177"/>
      <c r="H420" s="178"/>
      <c r="I420" s="179"/>
      <c r="J420" s="180"/>
      <c r="K420" s="181"/>
    </row>
    <row r="421" ht="22.5" customHeight="1">
      <c r="A421" s="173"/>
      <c r="B421" s="174"/>
      <c r="C421" s="175"/>
      <c r="D421" s="175"/>
      <c r="E421" s="176"/>
      <c r="F421" s="176"/>
      <c r="G421" s="177"/>
      <c r="H421" s="178"/>
      <c r="I421" s="179"/>
      <c r="J421" s="180"/>
      <c r="K421" s="181"/>
    </row>
    <row r="422" ht="22.5" customHeight="1">
      <c r="A422" s="173"/>
      <c r="B422" s="174"/>
      <c r="C422" s="175"/>
      <c r="D422" s="175"/>
      <c r="E422" s="176"/>
      <c r="F422" s="176"/>
      <c r="G422" s="177"/>
      <c r="H422" s="178"/>
      <c r="I422" s="179"/>
      <c r="J422" s="180"/>
      <c r="K422" s="181"/>
    </row>
    <row r="423" ht="22.5" customHeight="1">
      <c r="A423" s="173"/>
      <c r="B423" s="174"/>
      <c r="C423" s="175"/>
      <c r="D423" s="175"/>
      <c r="E423" s="176"/>
      <c r="F423" s="176"/>
      <c r="G423" s="177"/>
      <c r="H423" s="178"/>
      <c r="I423" s="179"/>
      <c r="J423" s="180"/>
      <c r="K423" s="181"/>
    </row>
    <row r="424" ht="22.5" customHeight="1">
      <c r="A424" s="173"/>
      <c r="B424" s="174"/>
      <c r="C424" s="175"/>
      <c r="D424" s="175"/>
      <c r="E424" s="176"/>
      <c r="F424" s="176"/>
      <c r="G424" s="177"/>
      <c r="H424" s="178"/>
      <c r="I424" s="179"/>
      <c r="J424" s="180"/>
      <c r="K424" s="181"/>
    </row>
    <row r="425" ht="22.5" customHeight="1">
      <c r="A425" s="173"/>
      <c r="B425" s="174"/>
      <c r="C425" s="175"/>
      <c r="D425" s="175"/>
      <c r="E425" s="176"/>
      <c r="F425" s="176"/>
      <c r="G425" s="177"/>
      <c r="H425" s="178"/>
      <c r="I425" s="179"/>
      <c r="J425" s="180"/>
      <c r="K425" s="181"/>
    </row>
    <row r="426" ht="22.5" customHeight="1">
      <c r="A426" s="173"/>
      <c r="B426" s="174"/>
      <c r="C426" s="175"/>
      <c r="D426" s="175"/>
      <c r="E426" s="176"/>
      <c r="F426" s="176"/>
      <c r="G426" s="177"/>
      <c r="H426" s="178"/>
      <c r="I426" s="179"/>
      <c r="J426" s="180"/>
      <c r="K426" s="181"/>
    </row>
    <row r="427" ht="22.5" customHeight="1">
      <c r="A427" s="173"/>
      <c r="B427" s="174"/>
      <c r="C427" s="175"/>
      <c r="D427" s="175"/>
      <c r="E427" s="176"/>
      <c r="F427" s="176"/>
      <c r="G427" s="177"/>
      <c r="H427" s="178"/>
      <c r="I427" s="179"/>
      <c r="J427" s="180"/>
      <c r="K427" s="181"/>
    </row>
    <row r="428" ht="22.5" customHeight="1">
      <c r="A428" s="173"/>
      <c r="B428" s="174"/>
      <c r="C428" s="175"/>
      <c r="D428" s="175"/>
      <c r="E428" s="176"/>
      <c r="F428" s="176"/>
      <c r="G428" s="177"/>
      <c r="H428" s="178"/>
      <c r="I428" s="179"/>
      <c r="J428" s="180"/>
      <c r="K428" s="181"/>
    </row>
    <row r="429" ht="22.5" customHeight="1">
      <c r="A429" s="173"/>
      <c r="B429" s="174"/>
      <c r="C429" s="175"/>
      <c r="D429" s="175"/>
      <c r="E429" s="176"/>
      <c r="F429" s="176"/>
      <c r="G429" s="177"/>
      <c r="H429" s="178"/>
      <c r="I429" s="179"/>
      <c r="J429" s="180"/>
      <c r="K429" s="181"/>
    </row>
    <row r="430" ht="22.5" customHeight="1">
      <c r="A430" s="173"/>
      <c r="B430" s="174"/>
      <c r="C430" s="175"/>
      <c r="D430" s="175"/>
      <c r="E430" s="176"/>
      <c r="F430" s="176"/>
      <c r="G430" s="177"/>
      <c r="H430" s="178"/>
      <c r="I430" s="179"/>
      <c r="J430" s="180"/>
      <c r="K430" s="181"/>
    </row>
    <row r="431" ht="22.5" customHeight="1">
      <c r="A431" s="173"/>
      <c r="B431" s="174"/>
      <c r="C431" s="175"/>
      <c r="D431" s="175"/>
      <c r="E431" s="176"/>
      <c r="F431" s="176"/>
      <c r="G431" s="177"/>
      <c r="H431" s="178"/>
      <c r="I431" s="179"/>
      <c r="J431" s="180"/>
      <c r="K431" s="181"/>
    </row>
    <row r="432" ht="22.5" customHeight="1">
      <c r="A432" s="173"/>
      <c r="B432" s="174"/>
      <c r="C432" s="175"/>
      <c r="D432" s="175"/>
      <c r="E432" s="176"/>
      <c r="F432" s="176"/>
      <c r="G432" s="177"/>
      <c r="H432" s="178"/>
      <c r="I432" s="179"/>
      <c r="J432" s="180"/>
      <c r="K432" s="181"/>
    </row>
    <row r="433" ht="22.5" customHeight="1">
      <c r="A433" s="173"/>
      <c r="B433" s="174"/>
      <c r="C433" s="175"/>
      <c r="D433" s="175"/>
      <c r="E433" s="176"/>
      <c r="F433" s="176"/>
      <c r="G433" s="177"/>
      <c r="H433" s="178"/>
      <c r="I433" s="179"/>
      <c r="J433" s="180"/>
      <c r="K433" s="181"/>
    </row>
    <row r="434" ht="22.5" customHeight="1">
      <c r="A434" s="173"/>
      <c r="B434" s="174"/>
      <c r="C434" s="175"/>
      <c r="D434" s="175"/>
      <c r="E434" s="176"/>
      <c r="F434" s="176"/>
      <c r="G434" s="177"/>
      <c r="H434" s="178"/>
      <c r="I434" s="179"/>
      <c r="J434" s="180"/>
      <c r="K434" s="181"/>
    </row>
    <row r="435" ht="22.5" customHeight="1">
      <c r="A435" s="173"/>
      <c r="B435" s="174"/>
      <c r="C435" s="175"/>
      <c r="D435" s="175"/>
      <c r="E435" s="176"/>
      <c r="F435" s="176"/>
      <c r="G435" s="177"/>
      <c r="H435" s="178"/>
      <c r="I435" s="179"/>
      <c r="J435" s="180"/>
      <c r="K435" s="181"/>
    </row>
    <row r="436" ht="22.5" customHeight="1">
      <c r="A436" s="173"/>
      <c r="B436" s="174"/>
      <c r="C436" s="175"/>
      <c r="D436" s="175"/>
      <c r="E436" s="176"/>
      <c r="F436" s="176"/>
      <c r="G436" s="177"/>
      <c r="H436" s="178"/>
      <c r="I436" s="179"/>
      <c r="J436" s="180"/>
      <c r="K436" s="181"/>
    </row>
    <row r="437" ht="22.5" customHeight="1">
      <c r="A437" s="173"/>
      <c r="B437" s="174"/>
      <c r="C437" s="175"/>
      <c r="D437" s="175"/>
      <c r="E437" s="176"/>
      <c r="F437" s="176"/>
      <c r="G437" s="177"/>
      <c r="H437" s="178"/>
      <c r="I437" s="179"/>
      <c r="J437" s="180"/>
      <c r="K437" s="181"/>
    </row>
    <row r="438" ht="22.5" customHeight="1">
      <c r="A438" s="173"/>
      <c r="B438" s="174"/>
      <c r="C438" s="175"/>
      <c r="D438" s="175"/>
      <c r="E438" s="176"/>
      <c r="F438" s="176"/>
      <c r="G438" s="177"/>
      <c r="H438" s="178"/>
      <c r="I438" s="179"/>
      <c r="J438" s="180"/>
      <c r="K438" s="181"/>
    </row>
    <row r="439" ht="22.5" customHeight="1">
      <c r="A439" s="173"/>
      <c r="B439" s="174"/>
      <c r="C439" s="175"/>
      <c r="D439" s="175"/>
      <c r="E439" s="176"/>
      <c r="F439" s="176"/>
      <c r="G439" s="177"/>
      <c r="H439" s="178"/>
      <c r="I439" s="179"/>
      <c r="J439" s="180"/>
      <c r="K439" s="181"/>
    </row>
    <row r="440" ht="22.5" customHeight="1">
      <c r="A440" s="173"/>
      <c r="B440" s="174"/>
      <c r="C440" s="175"/>
      <c r="D440" s="175"/>
      <c r="E440" s="176"/>
      <c r="F440" s="176"/>
      <c r="G440" s="177"/>
      <c r="H440" s="178"/>
      <c r="I440" s="179"/>
      <c r="J440" s="180"/>
      <c r="K440" s="181"/>
    </row>
    <row r="441" ht="22.5" customHeight="1">
      <c r="A441" s="173"/>
      <c r="B441" s="174"/>
      <c r="C441" s="175"/>
      <c r="D441" s="175"/>
      <c r="E441" s="176"/>
      <c r="F441" s="176"/>
      <c r="G441" s="177"/>
      <c r="H441" s="178"/>
      <c r="I441" s="179"/>
      <c r="J441" s="180"/>
      <c r="K441" s="181"/>
    </row>
    <row r="442" ht="22.5" customHeight="1">
      <c r="A442" s="173"/>
      <c r="B442" s="174"/>
      <c r="C442" s="175"/>
      <c r="D442" s="175"/>
      <c r="E442" s="176"/>
      <c r="F442" s="176"/>
      <c r="G442" s="177"/>
      <c r="H442" s="178"/>
      <c r="I442" s="179"/>
      <c r="J442" s="180"/>
      <c r="K442" s="181"/>
    </row>
    <row r="443" ht="22.5" customHeight="1">
      <c r="A443" s="173"/>
      <c r="B443" s="174"/>
      <c r="C443" s="175"/>
      <c r="D443" s="175"/>
      <c r="E443" s="176"/>
      <c r="F443" s="176"/>
      <c r="G443" s="177"/>
      <c r="H443" s="178"/>
      <c r="I443" s="179"/>
      <c r="J443" s="180"/>
      <c r="K443" s="181"/>
    </row>
    <row r="444" ht="22.5" customHeight="1">
      <c r="A444" s="173"/>
      <c r="B444" s="174"/>
      <c r="C444" s="175"/>
      <c r="D444" s="175"/>
      <c r="E444" s="176"/>
      <c r="F444" s="176"/>
      <c r="G444" s="177"/>
      <c r="H444" s="178"/>
      <c r="I444" s="179"/>
      <c r="J444" s="180"/>
      <c r="K444" s="181"/>
    </row>
    <row r="445" ht="22.5" customHeight="1">
      <c r="A445" s="173"/>
      <c r="B445" s="174"/>
      <c r="C445" s="175"/>
      <c r="D445" s="175"/>
      <c r="E445" s="176"/>
      <c r="F445" s="176"/>
      <c r="G445" s="177"/>
      <c r="H445" s="178"/>
      <c r="I445" s="179"/>
      <c r="J445" s="180"/>
      <c r="K445" s="181"/>
    </row>
    <row r="446" ht="22.5" customHeight="1">
      <c r="A446" s="173"/>
      <c r="B446" s="174"/>
      <c r="C446" s="175"/>
      <c r="D446" s="175"/>
      <c r="E446" s="176"/>
      <c r="F446" s="176"/>
      <c r="G446" s="177"/>
      <c r="H446" s="178"/>
      <c r="I446" s="179"/>
      <c r="J446" s="180"/>
      <c r="K446" s="181"/>
    </row>
    <row r="447" ht="22.5" customHeight="1">
      <c r="A447" s="173"/>
      <c r="B447" s="174"/>
      <c r="C447" s="175"/>
      <c r="D447" s="175"/>
      <c r="E447" s="176"/>
      <c r="F447" s="176"/>
      <c r="G447" s="177"/>
      <c r="H447" s="178"/>
      <c r="I447" s="179"/>
      <c r="J447" s="180"/>
      <c r="K447" s="181"/>
    </row>
    <row r="448" ht="22.5" customHeight="1">
      <c r="A448" s="173"/>
      <c r="B448" s="174"/>
      <c r="C448" s="175"/>
      <c r="D448" s="175"/>
      <c r="E448" s="176"/>
      <c r="F448" s="176"/>
      <c r="G448" s="177"/>
      <c r="H448" s="178"/>
      <c r="I448" s="179"/>
      <c r="J448" s="180"/>
      <c r="K448" s="181"/>
    </row>
    <row r="449" ht="22.5" customHeight="1">
      <c r="A449" s="173"/>
      <c r="B449" s="174"/>
      <c r="C449" s="175"/>
      <c r="D449" s="175"/>
      <c r="E449" s="176"/>
      <c r="F449" s="176"/>
      <c r="G449" s="177"/>
      <c r="H449" s="178"/>
      <c r="I449" s="179"/>
      <c r="J449" s="180"/>
      <c r="K449" s="181"/>
    </row>
    <row r="450" ht="22.5" customHeight="1">
      <c r="A450" s="173"/>
      <c r="B450" s="174"/>
      <c r="C450" s="175"/>
      <c r="D450" s="175"/>
      <c r="E450" s="176"/>
      <c r="F450" s="176"/>
      <c r="G450" s="177"/>
      <c r="H450" s="178"/>
      <c r="I450" s="179"/>
      <c r="J450" s="180"/>
      <c r="K450" s="181"/>
    </row>
    <row r="451" ht="22.5" customHeight="1">
      <c r="A451" s="173"/>
      <c r="B451" s="174"/>
      <c r="C451" s="175"/>
      <c r="D451" s="175"/>
      <c r="E451" s="176"/>
      <c r="F451" s="176"/>
      <c r="G451" s="177"/>
      <c r="H451" s="178"/>
      <c r="I451" s="179"/>
      <c r="J451" s="180"/>
      <c r="K451" s="181"/>
    </row>
    <row r="452" ht="22.5" customHeight="1">
      <c r="A452" s="173"/>
      <c r="B452" s="174"/>
      <c r="C452" s="175"/>
      <c r="D452" s="175"/>
      <c r="E452" s="176"/>
      <c r="F452" s="176"/>
      <c r="G452" s="177"/>
      <c r="H452" s="178"/>
      <c r="I452" s="179"/>
      <c r="J452" s="180"/>
      <c r="K452" s="181"/>
    </row>
    <row r="453" ht="22.5" customHeight="1">
      <c r="A453" s="173"/>
      <c r="B453" s="174"/>
      <c r="C453" s="175"/>
      <c r="D453" s="175"/>
      <c r="E453" s="176"/>
      <c r="F453" s="176"/>
      <c r="G453" s="177"/>
      <c r="H453" s="178"/>
      <c r="I453" s="179"/>
      <c r="J453" s="180"/>
      <c r="K453" s="181"/>
    </row>
    <row r="454" ht="22.5" customHeight="1">
      <c r="A454" s="173"/>
      <c r="B454" s="174"/>
      <c r="C454" s="175"/>
      <c r="D454" s="175"/>
      <c r="E454" s="176"/>
      <c r="F454" s="176"/>
      <c r="G454" s="177"/>
      <c r="H454" s="178"/>
      <c r="I454" s="179"/>
      <c r="J454" s="180"/>
      <c r="K454" s="181"/>
    </row>
    <row r="455" ht="22.5" customHeight="1">
      <c r="A455" s="173"/>
      <c r="B455" s="174"/>
      <c r="C455" s="175"/>
      <c r="D455" s="175"/>
      <c r="E455" s="176"/>
      <c r="F455" s="176"/>
      <c r="G455" s="177"/>
      <c r="H455" s="178"/>
      <c r="I455" s="179"/>
      <c r="J455" s="180"/>
      <c r="K455" s="181"/>
    </row>
    <row r="456" ht="22.5" customHeight="1">
      <c r="A456" s="173"/>
      <c r="B456" s="174"/>
      <c r="C456" s="175"/>
      <c r="D456" s="175"/>
      <c r="E456" s="176"/>
      <c r="F456" s="176"/>
      <c r="G456" s="177"/>
      <c r="H456" s="178"/>
      <c r="I456" s="179"/>
      <c r="J456" s="180"/>
      <c r="K456" s="181"/>
    </row>
    <row r="457" ht="22.5" customHeight="1">
      <c r="A457" s="173"/>
      <c r="B457" s="174"/>
      <c r="C457" s="175"/>
      <c r="D457" s="175"/>
      <c r="E457" s="176"/>
      <c r="F457" s="176"/>
      <c r="G457" s="177"/>
      <c r="H457" s="178"/>
      <c r="I457" s="179"/>
      <c r="J457" s="180"/>
      <c r="K457" s="181"/>
    </row>
    <row r="458" ht="22.5" customHeight="1">
      <c r="A458" s="173"/>
      <c r="B458" s="174"/>
      <c r="C458" s="175"/>
      <c r="D458" s="175"/>
      <c r="E458" s="176"/>
      <c r="F458" s="176"/>
      <c r="G458" s="177"/>
      <c r="H458" s="178"/>
      <c r="I458" s="179"/>
      <c r="J458" s="180"/>
      <c r="K458" s="181"/>
    </row>
    <row r="459" ht="22.5" customHeight="1">
      <c r="A459" s="173"/>
      <c r="B459" s="174"/>
      <c r="C459" s="175"/>
      <c r="D459" s="175"/>
      <c r="E459" s="176"/>
      <c r="F459" s="176"/>
      <c r="G459" s="177"/>
      <c r="H459" s="178"/>
      <c r="I459" s="179"/>
      <c r="J459" s="180"/>
      <c r="K459" s="181"/>
    </row>
    <row r="460" ht="22.5" customHeight="1">
      <c r="A460" s="173"/>
      <c r="B460" s="174"/>
      <c r="C460" s="175"/>
      <c r="D460" s="175"/>
      <c r="E460" s="176"/>
      <c r="F460" s="176"/>
      <c r="G460" s="177"/>
      <c r="H460" s="178"/>
      <c r="I460" s="179"/>
      <c r="J460" s="180"/>
      <c r="K460" s="181"/>
    </row>
    <row r="461" ht="22.5" customHeight="1">
      <c r="A461" s="173"/>
      <c r="B461" s="174"/>
      <c r="C461" s="175"/>
      <c r="D461" s="175"/>
      <c r="E461" s="176"/>
      <c r="F461" s="176"/>
      <c r="G461" s="177"/>
      <c r="H461" s="178"/>
      <c r="I461" s="179"/>
      <c r="J461" s="180"/>
      <c r="K461" s="181"/>
    </row>
    <row r="462" ht="22.5" customHeight="1">
      <c r="A462" s="173"/>
      <c r="B462" s="174"/>
      <c r="C462" s="175"/>
      <c r="D462" s="175"/>
      <c r="E462" s="176"/>
      <c r="F462" s="176"/>
      <c r="G462" s="177"/>
      <c r="H462" s="178"/>
      <c r="I462" s="179"/>
      <c r="J462" s="180"/>
      <c r="K462" s="181"/>
    </row>
    <row r="463" ht="22.5" customHeight="1">
      <c r="A463" s="173"/>
      <c r="B463" s="174"/>
      <c r="C463" s="175"/>
      <c r="D463" s="175"/>
      <c r="E463" s="176"/>
      <c r="F463" s="176"/>
      <c r="G463" s="177"/>
      <c r="H463" s="178"/>
      <c r="I463" s="179"/>
      <c r="J463" s="180"/>
      <c r="K463" s="181"/>
    </row>
    <row r="464" ht="22.5" customHeight="1">
      <c r="A464" s="173"/>
      <c r="B464" s="174"/>
      <c r="C464" s="175"/>
      <c r="D464" s="175"/>
      <c r="E464" s="176"/>
      <c r="F464" s="176"/>
      <c r="G464" s="177"/>
      <c r="H464" s="178"/>
      <c r="I464" s="179"/>
      <c r="J464" s="180"/>
      <c r="K464" s="181"/>
    </row>
    <row r="465" ht="22.5" customHeight="1">
      <c r="A465" s="173"/>
      <c r="B465" s="174"/>
      <c r="C465" s="175"/>
      <c r="D465" s="175"/>
      <c r="E465" s="176"/>
      <c r="F465" s="176"/>
      <c r="G465" s="177"/>
      <c r="H465" s="178"/>
      <c r="I465" s="179"/>
      <c r="J465" s="180"/>
      <c r="K465" s="181"/>
    </row>
    <row r="466" ht="22.5" customHeight="1">
      <c r="A466" s="173"/>
      <c r="B466" s="174"/>
      <c r="C466" s="175"/>
      <c r="D466" s="175"/>
      <c r="E466" s="176"/>
      <c r="F466" s="176"/>
      <c r="G466" s="177"/>
      <c r="H466" s="178"/>
      <c r="I466" s="179"/>
      <c r="J466" s="180"/>
      <c r="K466" s="181"/>
    </row>
    <row r="467" ht="22.5" customHeight="1">
      <c r="A467" s="173"/>
      <c r="B467" s="174"/>
      <c r="C467" s="175"/>
      <c r="D467" s="175"/>
      <c r="E467" s="176"/>
      <c r="F467" s="176"/>
      <c r="G467" s="177"/>
      <c r="H467" s="178"/>
      <c r="I467" s="179"/>
      <c r="J467" s="180"/>
      <c r="K467" s="181"/>
    </row>
    <row r="468" ht="22.5" customHeight="1">
      <c r="A468" s="173"/>
      <c r="B468" s="174"/>
      <c r="C468" s="175"/>
      <c r="D468" s="175"/>
      <c r="E468" s="176"/>
      <c r="F468" s="176"/>
      <c r="G468" s="177"/>
      <c r="H468" s="178"/>
      <c r="I468" s="179"/>
      <c r="J468" s="180"/>
      <c r="K468" s="181"/>
    </row>
    <row r="469" ht="22.5" customHeight="1">
      <c r="A469" s="173"/>
      <c r="B469" s="174"/>
      <c r="C469" s="175"/>
      <c r="D469" s="175"/>
      <c r="E469" s="176"/>
      <c r="F469" s="176"/>
      <c r="G469" s="177"/>
      <c r="H469" s="178"/>
      <c r="I469" s="179"/>
      <c r="J469" s="180"/>
      <c r="K469" s="181"/>
    </row>
    <row r="470" ht="22.5" customHeight="1">
      <c r="A470" s="173"/>
      <c r="B470" s="174"/>
      <c r="C470" s="175"/>
      <c r="D470" s="175"/>
      <c r="E470" s="176"/>
      <c r="F470" s="176"/>
      <c r="G470" s="177"/>
      <c r="H470" s="178"/>
      <c r="I470" s="179"/>
      <c r="J470" s="180"/>
      <c r="K470" s="181"/>
    </row>
    <row r="471" ht="22.5" customHeight="1">
      <c r="A471" s="173"/>
      <c r="B471" s="174"/>
      <c r="C471" s="175"/>
      <c r="D471" s="175"/>
      <c r="E471" s="176"/>
      <c r="F471" s="176"/>
      <c r="G471" s="177"/>
      <c r="H471" s="178"/>
      <c r="I471" s="179"/>
      <c r="J471" s="180"/>
      <c r="K471" s="181"/>
    </row>
    <row r="472" ht="22.5" customHeight="1">
      <c r="A472" s="173"/>
      <c r="B472" s="174"/>
      <c r="C472" s="175"/>
      <c r="D472" s="175"/>
      <c r="E472" s="176"/>
      <c r="F472" s="176"/>
      <c r="G472" s="177"/>
      <c r="H472" s="178"/>
      <c r="I472" s="179"/>
      <c r="J472" s="180"/>
      <c r="K472" s="181"/>
    </row>
    <row r="473" ht="22.5" customHeight="1">
      <c r="A473" s="173"/>
      <c r="B473" s="174"/>
      <c r="C473" s="175"/>
      <c r="D473" s="175"/>
      <c r="E473" s="176"/>
      <c r="F473" s="176"/>
      <c r="G473" s="177"/>
      <c r="H473" s="178"/>
      <c r="I473" s="179"/>
      <c r="J473" s="180"/>
      <c r="K473" s="181"/>
    </row>
    <row r="474" ht="22.5" customHeight="1">
      <c r="A474" s="173"/>
      <c r="B474" s="174"/>
      <c r="C474" s="175"/>
      <c r="D474" s="175"/>
      <c r="E474" s="176"/>
      <c r="F474" s="176"/>
      <c r="G474" s="177"/>
      <c r="H474" s="178"/>
      <c r="I474" s="179"/>
      <c r="J474" s="180"/>
      <c r="K474" s="181"/>
    </row>
    <row r="475" ht="22.5" customHeight="1">
      <c r="A475" s="173"/>
      <c r="B475" s="174"/>
      <c r="C475" s="175"/>
      <c r="D475" s="175"/>
      <c r="E475" s="176"/>
      <c r="F475" s="176"/>
      <c r="G475" s="177"/>
      <c r="H475" s="178"/>
      <c r="I475" s="179"/>
      <c r="J475" s="180"/>
      <c r="K475" s="181"/>
    </row>
    <row r="476" ht="22.5" customHeight="1">
      <c r="A476" s="173"/>
      <c r="B476" s="174"/>
      <c r="C476" s="175"/>
      <c r="D476" s="175"/>
      <c r="E476" s="176"/>
      <c r="F476" s="176"/>
      <c r="G476" s="177"/>
      <c r="H476" s="178"/>
      <c r="I476" s="179"/>
      <c r="J476" s="180"/>
      <c r="K476" s="181"/>
    </row>
    <row r="477" ht="22.5" customHeight="1">
      <c r="A477" s="173"/>
      <c r="B477" s="174"/>
      <c r="C477" s="175"/>
      <c r="D477" s="175"/>
      <c r="E477" s="176"/>
      <c r="F477" s="176"/>
      <c r="G477" s="177"/>
      <c r="H477" s="178"/>
      <c r="I477" s="179"/>
      <c r="J477" s="180"/>
      <c r="K477" s="181"/>
    </row>
    <row r="478" ht="22.5" customHeight="1">
      <c r="A478" s="173"/>
      <c r="B478" s="174"/>
      <c r="C478" s="175"/>
      <c r="D478" s="175"/>
      <c r="E478" s="176"/>
      <c r="F478" s="176"/>
      <c r="G478" s="177"/>
      <c r="H478" s="178"/>
      <c r="I478" s="179"/>
      <c r="J478" s="180"/>
      <c r="K478" s="181"/>
    </row>
    <row r="479" ht="22.5" customHeight="1">
      <c r="A479" s="173"/>
      <c r="B479" s="174"/>
      <c r="C479" s="175"/>
      <c r="D479" s="175"/>
      <c r="E479" s="176"/>
      <c r="F479" s="176"/>
      <c r="G479" s="177"/>
      <c r="H479" s="178"/>
      <c r="I479" s="179"/>
      <c r="J479" s="180"/>
      <c r="K479" s="181"/>
    </row>
    <row r="480" ht="22.5" customHeight="1">
      <c r="A480" s="173"/>
      <c r="B480" s="174"/>
      <c r="C480" s="175"/>
      <c r="D480" s="175"/>
      <c r="E480" s="176"/>
      <c r="F480" s="176"/>
      <c r="G480" s="177"/>
      <c r="H480" s="178"/>
      <c r="I480" s="179"/>
      <c r="J480" s="180"/>
      <c r="K480" s="181"/>
    </row>
    <row r="481" ht="22.5" customHeight="1">
      <c r="A481" s="173"/>
      <c r="B481" s="174"/>
      <c r="C481" s="175"/>
      <c r="D481" s="175"/>
      <c r="E481" s="176"/>
      <c r="F481" s="176"/>
      <c r="G481" s="177"/>
      <c r="H481" s="178"/>
      <c r="I481" s="179"/>
      <c r="J481" s="180"/>
      <c r="K481" s="181"/>
    </row>
    <row r="482" ht="22.5" customHeight="1">
      <c r="A482" s="173"/>
      <c r="B482" s="174"/>
      <c r="C482" s="175"/>
      <c r="D482" s="175"/>
      <c r="E482" s="176"/>
      <c r="F482" s="176"/>
      <c r="G482" s="177"/>
      <c r="H482" s="178"/>
      <c r="I482" s="179"/>
      <c r="J482" s="180"/>
      <c r="K482" s="181"/>
    </row>
    <row r="483" ht="22.5" customHeight="1">
      <c r="A483" s="173"/>
      <c r="B483" s="174"/>
      <c r="C483" s="175"/>
      <c r="D483" s="175"/>
      <c r="E483" s="176"/>
      <c r="F483" s="176"/>
      <c r="G483" s="177"/>
      <c r="H483" s="178"/>
      <c r="I483" s="179"/>
      <c r="J483" s="180"/>
      <c r="K483" s="181"/>
    </row>
    <row r="484" ht="22.5" customHeight="1">
      <c r="A484" s="173"/>
      <c r="B484" s="174"/>
      <c r="C484" s="175"/>
      <c r="D484" s="175"/>
      <c r="E484" s="176"/>
      <c r="F484" s="176"/>
      <c r="G484" s="177"/>
      <c r="H484" s="178"/>
      <c r="I484" s="179"/>
      <c r="J484" s="180"/>
      <c r="K484" s="181"/>
    </row>
    <row r="485" ht="22.5" customHeight="1">
      <c r="A485" s="173"/>
      <c r="B485" s="174"/>
      <c r="C485" s="175"/>
      <c r="D485" s="175"/>
      <c r="E485" s="176"/>
      <c r="F485" s="176"/>
      <c r="G485" s="177"/>
      <c r="H485" s="178"/>
      <c r="I485" s="179"/>
      <c r="J485" s="180"/>
      <c r="K485" s="181"/>
    </row>
    <row r="486" ht="22.5" customHeight="1">
      <c r="A486" s="173"/>
      <c r="B486" s="174"/>
      <c r="C486" s="175"/>
      <c r="D486" s="175"/>
      <c r="E486" s="176"/>
      <c r="F486" s="176"/>
      <c r="G486" s="177"/>
      <c r="H486" s="178"/>
      <c r="I486" s="179"/>
      <c r="J486" s="180"/>
      <c r="K486" s="181"/>
    </row>
    <row r="487" ht="22.5" customHeight="1">
      <c r="A487" s="173"/>
      <c r="B487" s="174"/>
      <c r="C487" s="175"/>
      <c r="D487" s="175"/>
      <c r="E487" s="176"/>
      <c r="F487" s="176"/>
      <c r="G487" s="177"/>
      <c r="H487" s="178"/>
      <c r="I487" s="179"/>
      <c r="J487" s="180"/>
      <c r="K487" s="181"/>
    </row>
    <row r="488" ht="22.5" customHeight="1">
      <c r="A488" s="173"/>
      <c r="B488" s="174"/>
      <c r="C488" s="175"/>
      <c r="D488" s="175"/>
      <c r="E488" s="176"/>
      <c r="F488" s="176"/>
      <c r="G488" s="177"/>
      <c r="H488" s="178"/>
      <c r="I488" s="179"/>
      <c r="J488" s="180"/>
      <c r="K488" s="181"/>
    </row>
    <row r="489" ht="22.5" customHeight="1">
      <c r="A489" s="173"/>
      <c r="B489" s="174"/>
      <c r="C489" s="175"/>
      <c r="D489" s="175"/>
      <c r="E489" s="176"/>
      <c r="F489" s="176"/>
      <c r="G489" s="177"/>
      <c r="H489" s="178"/>
      <c r="I489" s="179"/>
      <c r="J489" s="180"/>
      <c r="K489" s="181"/>
    </row>
    <row r="490" ht="22.5" customHeight="1">
      <c r="A490" s="173"/>
      <c r="B490" s="174"/>
      <c r="C490" s="175"/>
      <c r="D490" s="175"/>
      <c r="E490" s="176"/>
      <c r="F490" s="176"/>
      <c r="G490" s="177"/>
      <c r="H490" s="178"/>
      <c r="I490" s="179"/>
      <c r="J490" s="180"/>
      <c r="K490" s="181"/>
    </row>
    <row r="491" ht="22.5" customHeight="1">
      <c r="A491" s="173"/>
      <c r="B491" s="174"/>
      <c r="C491" s="175"/>
      <c r="D491" s="175"/>
      <c r="E491" s="176"/>
      <c r="F491" s="176"/>
      <c r="G491" s="177"/>
      <c r="H491" s="178"/>
      <c r="I491" s="179"/>
      <c r="J491" s="180"/>
      <c r="K491" s="181"/>
    </row>
    <row r="492" ht="22.5" customHeight="1">
      <c r="A492" s="173"/>
      <c r="B492" s="174"/>
      <c r="C492" s="175"/>
      <c r="D492" s="175"/>
      <c r="E492" s="176"/>
      <c r="F492" s="176"/>
      <c r="G492" s="177"/>
      <c r="H492" s="178"/>
      <c r="I492" s="179"/>
      <c r="J492" s="180"/>
      <c r="K492" s="181"/>
    </row>
    <row r="493" ht="22.5" customHeight="1">
      <c r="A493" s="173"/>
      <c r="B493" s="174"/>
      <c r="C493" s="175"/>
      <c r="D493" s="175"/>
      <c r="E493" s="176"/>
      <c r="F493" s="176"/>
      <c r="G493" s="177"/>
      <c r="H493" s="178"/>
      <c r="I493" s="179"/>
      <c r="J493" s="180"/>
      <c r="K493" s="181"/>
    </row>
    <row r="494" ht="22.5" customHeight="1">
      <c r="A494" s="173"/>
      <c r="B494" s="174"/>
      <c r="C494" s="175"/>
      <c r="D494" s="175"/>
      <c r="E494" s="176"/>
      <c r="F494" s="176"/>
      <c r="G494" s="177"/>
      <c r="H494" s="178"/>
      <c r="I494" s="179"/>
      <c r="J494" s="180"/>
      <c r="K494" s="181"/>
    </row>
    <row r="495" ht="22.5" customHeight="1">
      <c r="A495" s="173"/>
      <c r="B495" s="174"/>
      <c r="C495" s="175"/>
      <c r="D495" s="175"/>
      <c r="E495" s="176"/>
      <c r="F495" s="176"/>
      <c r="G495" s="177"/>
      <c r="H495" s="178"/>
      <c r="I495" s="179"/>
      <c r="J495" s="180"/>
      <c r="K495" s="181"/>
    </row>
    <row r="496" ht="22.5" customHeight="1">
      <c r="A496" s="173"/>
      <c r="B496" s="174"/>
      <c r="C496" s="175"/>
      <c r="D496" s="175"/>
      <c r="E496" s="176"/>
      <c r="F496" s="176"/>
      <c r="G496" s="177"/>
      <c r="H496" s="178"/>
      <c r="I496" s="179"/>
      <c r="J496" s="180"/>
      <c r="K496" s="181"/>
    </row>
    <row r="497" ht="22.5" customHeight="1">
      <c r="A497" s="173"/>
      <c r="B497" s="174"/>
      <c r="C497" s="175"/>
      <c r="D497" s="175"/>
      <c r="E497" s="176"/>
      <c r="F497" s="176"/>
      <c r="G497" s="177"/>
      <c r="H497" s="178"/>
      <c r="I497" s="179"/>
      <c r="J497" s="180"/>
      <c r="K497" s="181"/>
    </row>
    <row r="498" ht="22.5" customHeight="1">
      <c r="A498" s="173"/>
      <c r="B498" s="174"/>
      <c r="C498" s="175"/>
      <c r="D498" s="175"/>
      <c r="E498" s="176"/>
      <c r="F498" s="176"/>
      <c r="G498" s="177"/>
      <c r="H498" s="178"/>
      <c r="I498" s="179"/>
      <c r="J498" s="180"/>
      <c r="K498" s="181"/>
    </row>
    <row r="499" ht="22.5" customHeight="1">
      <c r="A499" s="173"/>
      <c r="B499" s="174"/>
      <c r="C499" s="175"/>
      <c r="D499" s="175"/>
      <c r="E499" s="176"/>
      <c r="F499" s="176"/>
      <c r="G499" s="177"/>
      <c r="H499" s="178"/>
      <c r="I499" s="179"/>
      <c r="J499" s="180"/>
      <c r="K499" s="181"/>
    </row>
    <row r="500" ht="22.5" customHeight="1">
      <c r="A500" s="173"/>
      <c r="B500" s="174"/>
      <c r="C500" s="175"/>
      <c r="D500" s="175"/>
      <c r="E500" s="176"/>
      <c r="F500" s="176"/>
      <c r="G500" s="177"/>
      <c r="H500" s="178"/>
      <c r="I500" s="179"/>
      <c r="J500" s="180"/>
      <c r="K500" s="181"/>
    </row>
    <row r="501" ht="22.5" customHeight="1">
      <c r="A501" s="173"/>
      <c r="B501" s="174"/>
      <c r="C501" s="175"/>
      <c r="D501" s="175"/>
      <c r="E501" s="176"/>
      <c r="F501" s="176"/>
      <c r="G501" s="177"/>
      <c r="H501" s="178"/>
      <c r="I501" s="179"/>
      <c r="J501" s="180"/>
      <c r="K501" s="181"/>
    </row>
    <row r="502" ht="22.5" customHeight="1">
      <c r="A502" s="173"/>
      <c r="B502" s="174"/>
      <c r="C502" s="175"/>
      <c r="D502" s="175"/>
      <c r="E502" s="176"/>
      <c r="F502" s="176"/>
      <c r="G502" s="177"/>
      <c r="H502" s="178"/>
      <c r="I502" s="179"/>
      <c r="J502" s="180"/>
      <c r="K502" s="181"/>
    </row>
    <row r="503" ht="22.5" customHeight="1">
      <c r="A503" s="173"/>
      <c r="B503" s="174"/>
      <c r="C503" s="175"/>
      <c r="D503" s="175"/>
      <c r="E503" s="176"/>
      <c r="F503" s="176"/>
      <c r="G503" s="177"/>
      <c r="H503" s="178"/>
      <c r="I503" s="179"/>
      <c r="J503" s="180"/>
      <c r="K503" s="181"/>
    </row>
    <row r="504" ht="22.5" customHeight="1">
      <c r="A504" s="173"/>
      <c r="B504" s="174"/>
      <c r="C504" s="175"/>
      <c r="D504" s="175"/>
      <c r="E504" s="176"/>
      <c r="F504" s="176"/>
      <c r="G504" s="177"/>
      <c r="H504" s="178"/>
      <c r="I504" s="179"/>
      <c r="J504" s="180"/>
      <c r="K504" s="181"/>
    </row>
    <row r="505" ht="22.5" customHeight="1">
      <c r="A505" s="173"/>
      <c r="B505" s="174"/>
      <c r="C505" s="175"/>
      <c r="D505" s="175"/>
      <c r="E505" s="176"/>
      <c r="F505" s="176"/>
      <c r="G505" s="177"/>
      <c r="H505" s="178"/>
      <c r="I505" s="179"/>
      <c r="J505" s="180"/>
      <c r="K505" s="181"/>
    </row>
    <row r="506" ht="22.5" customHeight="1">
      <c r="A506" s="173"/>
      <c r="B506" s="174"/>
      <c r="C506" s="175"/>
      <c r="D506" s="175"/>
      <c r="E506" s="176"/>
      <c r="F506" s="176"/>
      <c r="G506" s="177"/>
      <c r="H506" s="178"/>
      <c r="I506" s="179"/>
      <c r="J506" s="180"/>
      <c r="K506" s="181"/>
    </row>
    <row r="507" ht="22.5" customHeight="1">
      <c r="A507" s="173"/>
      <c r="B507" s="174"/>
      <c r="C507" s="175"/>
      <c r="D507" s="175"/>
      <c r="E507" s="176"/>
      <c r="F507" s="176"/>
      <c r="G507" s="177"/>
      <c r="H507" s="178"/>
      <c r="I507" s="179"/>
      <c r="J507" s="180"/>
      <c r="K507" s="181"/>
    </row>
    <row r="508" ht="22.5" customHeight="1">
      <c r="A508" s="173"/>
      <c r="B508" s="174"/>
      <c r="C508" s="175"/>
      <c r="D508" s="175"/>
      <c r="E508" s="176"/>
      <c r="F508" s="176"/>
      <c r="G508" s="177"/>
      <c r="H508" s="178"/>
      <c r="I508" s="179"/>
      <c r="J508" s="180"/>
      <c r="K508" s="181"/>
    </row>
    <row r="509" ht="22.5" customHeight="1">
      <c r="A509" s="173"/>
      <c r="B509" s="174"/>
      <c r="C509" s="175"/>
      <c r="D509" s="175"/>
      <c r="E509" s="176"/>
      <c r="F509" s="176"/>
      <c r="G509" s="177"/>
      <c r="H509" s="178"/>
      <c r="I509" s="179"/>
      <c r="J509" s="180"/>
      <c r="K509" s="181"/>
    </row>
    <row r="510" ht="22.5" customHeight="1">
      <c r="A510" s="173"/>
      <c r="B510" s="174"/>
      <c r="C510" s="175"/>
      <c r="D510" s="175"/>
      <c r="E510" s="176"/>
      <c r="F510" s="176"/>
      <c r="G510" s="177"/>
      <c r="H510" s="178"/>
      <c r="I510" s="179"/>
      <c r="J510" s="180"/>
      <c r="K510" s="181"/>
    </row>
    <row r="511" ht="22.5" customHeight="1">
      <c r="A511" s="173"/>
      <c r="B511" s="174"/>
      <c r="C511" s="175"/>
      <c r="D511" s="175"/>
      <c r="E511" s="176"/>
      <c r="F511" s="176"/>
      <c r="G511" s="177"/>
      <c r="H511" s="178"/>
      <c r="I511" s="179"/>
      <c r="J511" s="180"/>
      <c r="K511" s="181"/>
    </row>
    <row r="512" ht="22.5" customHeight="1">
      <c r="A512" s="173"/>
      <c r="B512" s="174"/>
      <c r="C512" s="175"/>
      <c r="D512" s="175"/>
      <c r="E512" s="176"/>
      <c r="F512" s="176"/>
      <c r="G512" s="177"/>
      <c r="H512" s="178"/>
      <c r="I512" s="179"/>
      <c r="J512" s="180"/>
      <c r="K512" s="181"/>
    </row>
    <row r="513" ht="22.5" customHeight="1">
      <c r="A513" s="173"/>
      <c r="B513" s="174"/>
      <c r="C513" s="175"/>
      <c r="D513" s="175"/>
      <c r="E513" s="176"/>
      <c r="F513" s="176"/>
      <c r="G513" s="177"/>
      <c r="H513" s="178"/>
      <c r="I513" s="179"/>
      <c r="J513" s="180"/>
      <c r="K513" s="181"/>
    </row>
    <row r="514" ht="22.5" customHeight="1">
      <c r="A514" s="173"/>
      <c r="B514" s="174"/>
      <c r="C514" s="175"/>
      <c r="D514" s="175"/>
      <c r="E514" s="176"/>
      <c r="F514" s="176"/>
      <c r="G514" s="177"/>
      <c r="H514" s="178"/>
      <c r="I514" s="179"/>
      <c r="J514" s="180"/>
      <c r="K514" s="181"/>
    </row>
    <row r="515" ht="22.5" customHeight="1">
      <c r="A515" s="173"/>
      <c r="B515" s="174"/>
      <c r="C515" s="175"/>
      <c r="D515" s="175"/>
      <c r="E515" s="176"/>
      <c r="F515" s="176"/>
      <c r="G515" s="177"/>
      <c r="H515" s="178"/>
      <c r="I515" s="179"/>
      <c r="J515" s="180"/>
      <c r="K515" s="181"/>
    </row>
    <row r="516" ht="22.5" customHeight="1">
      <c r="A516" s="173"/>
      <c r="B516" s="174"/>
      <c r="C516" s="175"/>
      <c r="D516" s="175"/>
      <c r="E516" s="176"/>
      <c r="F516" s="176"/>
      <c r="G516" s="177"/>
      <c r="H516" s="178"/>
      <c r="I516" s="179"/>
      <c r="J516" s="180"/>
      <c r="K516" s="181"/>
    </row>
    <row r="517" ht="22.5" customHeight="1">
      <c r="A517" s="173"/>
      <c r="B517" s="174"/>
      <c r="C517" s="175"/>
      <c r="D517" s="175"/>
      <c r="E517" s="176"/>
      <c r="F517" s="176"/>
      <c r="G517" s="177"/>
      <c r="H517" s="178"/>
      <c r="I517" s="179"/>
      <c r="J517" s="180"/>
      <c r="K517" s="181"/>
    </row>
    <row r="518" ht="22.5" customHeight="1">
      <c r="A518" s="173"/>
      <c r="B518" s="174"/>
      <c r="C518" s="175"/>
      <c r="D518" s="175"/>
      <c r="E518" s="176"/>
      <c r="F518" s="176"/>
      <c r="G518" s="177"/>
      <c r="H518" s="178"/>
      <c r="I518" s="179"/>
      <c r="J518" s="180"/>
      <c r="K518" s="181"/>
    </row>
    <row r="519" ht="22.5" customHeight="1">
      <c r="A519" s="173"/>
      <c r="B519" s="174"/>
      <c r="C519" s="175"/>
      <c r="D519" s="175"/>
      <c r="E519" s="176"/>
      <c r="F519" s="176"/>
      <c r="G519" s="177"/>
      <c r="H519" s="178"/>
      <c r="I519" s="179"/>
      <c r="J519" s="180"/>
      <c r="K519" s="181"/>
    </row>
    <row r="520" ht="22.5" customHeight="1">
      <c r="A520" s="173"/>
      <c r="B520" s="174"/>
      <c r="C520" s="175"/>
      <c r="D520" s="175"/>
      <c r="E520" s="176"/>
      <c r="F520" s="176"/>
      <c r="G520" s="177"/>
      <c r="H520" s="178"/>
      <c r="I520" s="179"/>
      <c r="J520" s="180"/>
      <c r="K520" s="181"/>
    </row>
    <row r="521" ht="22.5" customHeight="1">
      <c r="A521" s="173"/>
      <c r="B521" s="174"/>
      <c r="C521" s="175"/>
      <c r="D521" s="175"/>
      <c r="E521" s="176"/>
      <c r="F521" s="176"/>
      <c r="G521" s="177"/>
      <c r="H521" s="178"/>
      <c r="I521" s="179"/>
      <c r="J521" s="180"/>
      <c r="K521" s="181"/>
    </row>
    <row r="522" ht="22.5" customHeight="1">
      <c r="A522" s="173"/>
      <c r="B522" s="174"/>
      <c r="C522" s="175"/>
      <c r="D522" s="175"/>
      <c r="E522" s="176"/>
      <c r="F522" s="176"/>
      <c r="G522" s="177"/>
      <c r="H522" s="178"/>
      <c r="I522" s="179"/>
      <c r="J522" s="180"/>
      <c r="K522" s="181"/>
    </row>
    <row r="523" ht="22.5" customHeight="1">
      <c r="A523" s="173"/>
      <c r="B523" s="174"/>
      <c r="C523" s="175"/>
      <c r="D523" s="175"/>
      <c r="E523" s="176"/>
      <c r="F523" s="176"/>
      <c r="G523" s="177"/>
      <c r="H523" s="178"/>
      <c r="I523" s="179"/>
      <c r="J523" s="180"/>
      <c r="K523" s="181"/>
    </row>
    <row r="524" ht="22.5" customHeight="1">
      <c r="A524" s="173"/>
      <c r="B524" s="174"/>
      <c r="C524" s="175"/>
      <c r="D524" s="175"/>
      <c r="E524" s="176"/>
      <c r="F524" s="176"/>
      <c r="G524" s="177"/>
      <c r="H524" s="178"/>
      <c r="I524" s="179"/>
      <c r="J524" s="180"/>
      <c r="K524" s="181"/>
    </row>
    <row r="525" ht="22.5" customHeight="1">
      <c r="A525" s="173"/>
      <c r="B525" s="174"/>
      <c r="C525" s="175"/>
      <c r="D525" s="175"/>
      <c r="E525" s="176"/>
      <c r="F525" s="176"/>
      <c r="G525" s="177"/>
      <c r="H525" s="178"/>
      <c r="I525" s="179"/>
      <c r="J525" s="180"/>
      <c r="K525" s="181"/>
    </row>
    <row r="526" ht="22.5" customHeight="1">
      <c r="A526" s="173"/>
      <c r="B526" s="174"/>
      <c r="C526" s="175"/>
      <c r="D526" s="175"/>
      <c r="E526" s="176"/>
      <c r="F526" s="176"/>
      <c r="G526" s="177"/>
      <c r="H526" s="178"/>
      <c r="I526" s="179"/>
      <c r="J526" s="180"/>
      <c r="K526" s="181"/>
    </row>
    <row r="527" ht="22.5" customHeight="1">
      <c r="A527" s="173"/>
      <c r="B527" s="174"/>
      <c r="C527" s="175"/>
      <c r="D527" s="175"/>
      <c r="E527" s="176"/>
      <c r="F527" s="176"/>
      <c r="G527" s="177"/>
      <c r="H527" s="178"/>
      <c r="I527" s="179"/>
      <c r="J527" s="180"/>
      <c r="K527" s="181"/>
    </row>
    <row r="528" ht="22.5" customHeight="1">
      <c r="A528" s="173"/>
      <c r="B528" s="174"/>
      <c r="C528" s="175"/>
      <c r="D528" s="175"/>
      <c r="E528" s="176"/>
      <c r="F528" s="176"/>
      <c r="G528" s="177"/>
      <c r="H528" s="178"/>
      <c r="I528" s="179"/>
      <c r="J528" s="180"/>
      <c r="K528" s="181"/>
    </row>
    <row r="529" ht="22.5" customHeight="1">
      <c r="A529" s="173"/>
      <c r="B529" s="174"/>
      <c r="C529" s="175"/>
      <c r="D529" s="175"/>
      <c r="E529" s="176"/>
      <c r="F529" s="176"/>
      <c r="G529" s="177"/>
      <c r="H529" s="178"/>
      <c r="I529" s="179"/>
      <c r="J529" s="180"/>
      <c r="K529" s="181"/>
    </row>
    <row r="530" ht="22.5" customHeight="1">
      <c r="A530" s="173"/>
      <c r="B530" s="174"/>
      <c r="C530" s="175"/>
      <c r="D530" s="175"/>
      <c r="E530" s="176"/>
      <c r="F530" s="176"/>
      <c r="G530" s="177"/>
      <c r="H530" s="178"/>
      <c r="I530" s="179"/>
      <c r="J530" s="180"/>
      <c r="K530" s="181"/>
    </row>
    <row r="531" ht="22.5" customHeight="1">
      <c r="A531" s="173"/>
      <c r="B531" s="174"/>
      <c r="C531" s="175"/>
      <c r="D531" s="175"/>
      <c r="E531" s="176"/>
      <c r="F531" s="176"/>
      <c r="G531" s="177"/>
      <c r="H531" s="178"/>
      <c r="I531" s="179"/>
      <c r="J531" s="180"/>
      <c r="K531" s="181"/>
    </row>
    <row r="532" ht="22.5" customHeight="1">
      <c r="A532" s="173"/>
      <c r="B532" s="174"/>
      <c r="C532" s="175"/>
      <c r="D532" s="175"/>
      <c r="E532" s="176"/>
      <c r="F532" s="176"/>
      <c r="G532" s="177"/>
      <c r="H532" s="178"/>
      <c r="I532" s="179"/>
      <c r="J532" s="180"/>
      <c r="K532" s="181"/>
    </row>
    <row r="533" ht="22.5" customHeight="1">
      <c r="A533" s="173"/>
      <c r="B533" s="174"/>
      <c r="C533" s="175"/>
      <c r="D533" s="175"/>
      <c r="E533" s="176"/>
      <c r="F533" s="176"/>
      <c r="G533" s="177"/>
      <c r="H533" s="178"/>
      <c r="I533" s="179"/>
      <c r="J533" s="180"/>
      <c r="K533" s="181"/>
    </row>
    <row r="534" ht="22.5" customHeight="1">
      <c r="A534" s="173"/>
      <c r="B534" s="174"/>
      <c r="C534" s="175"/>
      <c r="D534" s="175"/>
      <c r="E534" s="176"/>
      <c r="F534" s="176"/>
      <c r="G534" s="177"/>
      <c r="H534" s="178"/>
      <c r="I534" s="179"/>
      <c r="J534" s="180"/>
      <c r="K534" s="181"/>
    </row>
    <row r="535" ht="22.5" customHeight="1">
      <c r="A535" s="173"/>
      <c r="B535" s="174"/>
      <c r="C535" s="175"/>
      <c r="D535" s="175"/>
      <c r="E535" s="176"/>
      <c r="F535" s="176"/>
      <c r="G535" s="177"/>
      <c r="H535" s="178"/>
      <c r="I535" s="179"/>
      <c r="J535" s="180"/>
      <c r="K535" s="181"/>
    </row>
    <row r="536" ht="22.5" customHeight="1">
      <c r="A536" s="173"/>
      <c r="B536" s="174"/>
      <c r="C536" s="175"/>
      <c r="D536" s="175"/>
      <c r="E536" s="176"/>
      <c r="F536" s="176"/>
      <c r="G536" s="177"/>
      <c r="H536" s="178"/>
      <c r="I536" s="179"/>
      <c r="J536" s="180"/>
      <c r="K536" s="181"/>
    </row>
    <row r="537" ht="22.5" customHeight="1">
      <c r="A537" s="173"/>
      <c r="B537" s="174"/>
      <c r="C537" s="175"/>
      <c r="D537" s="175"/>
      <c r="E537" s="176"/>
      <c r="F537" s="176"/>
      <c r="G537" s="177"/>
      <c r="H537" s="178"/>
      <c r="I537" s="179"/>
      <c r="J537" s="180"/>
      <c r="K537" s="181"/>
    </row>
    <row r="538" ht="22.5" customHeight="1">
      <c r="A538" s="173"/>
      <c r="B538" s="174"/>
      <c r="C538" s="175"/>
      <c r="D538" s="175"/>
      <c r="E538" s="176"/>
      <c r="F538" s="176"/>
      <c r="G538" s="177"/>
      <c r="H538" s="178"/>
      <c r="I538" s="179"/>
      <c r="J538" s="180"/>
      <c r="K538" s="181"/>
    </row>
    <row r="539" ht="22.5" customHeight="1">
      <c r="A539" s="173"/>
      <c r="B539" s="174"/>
      <c r="C539" s="175"/>
      <c r="D539" s="175"/>
      <c r="E539" s="176"/>
      <c r="F539" s="176"/>
      <c r="G539" s="177"/>
      <c r="H539" s="178"/>
      <c r="I539" s="179"/>
      <c r="J539" s="180"/>
      <c r="K539" s="181"/>
    </row>
    <row r="540" ht="22.5" customHeight="1">
      <c r="A540" s="173"/>
      <c r="B540" s="174"/>
      <c r="C540" s="175"/>
      <c r="D540" s="175"/>
      <c r="E540" s="176"/>
      <c r="F540" s="176"/>
      <c r="G540" s="177"/>
      <c r="H540" s="178"/>
      <c r="I540" s="179"/>
      <c r="J540" s="180"/>
      <c r="K540" s="181"/>
    </row>
    <row r="541" ht="22.5" customHeight="1">
      <c r="A541" s="173"/>
      <c r="B541" s="174"/>
      <c r="C541" s="175"/>
      <c r="D541" s="175"/>
      <c r="E541" s="176"/>
      <c r="F541" s="176"/>
      <c r="G541" s="177"/>
      <c r="H541" s="178"/>
      <c r="I541" s="179"/>
      <c r="J541" s="180"/>
      <c r="K541" s="181"/>
    </row>
    <row r="542" ht="22.5" customHeight="1">
      <c r="A542" s="173"/>
      <c r="B542" s="174"/>
      <c r="C542" s="175"/>
      <c r="D542" s="175"/>
      <c r="E542" s="176"/>
      <c r="F542" s="176"/>
      <c r="G542" s="177"/>
      <c r="H542" s="178"/>
      <c r="I542" s="179"/>
      <c r="J542" s="180"/>
      <c r="K542" s="181"/>
    </row>
    <row r="543" ht="22.5" customHeight="1">
      <c r="A543" s="173"/>
      <c r="B543" s="174"/>
      <c r="C543" s="175"/>
      <c r="D543" s="175"/>
      <c r="E543" s="176"/>
      <c r="F543" s="176"/>
      <c r="G543" s="177"/>
      <c r="H543" s="178"/>
      <c r="I543" s="179"/>
      <c r="J543" s="180"/>
      <c r="K543" s="181"/>
    </row>
    <row r="544" ht="22.5" customHeight="1">
      <c r="A544" s="173"/>
      <c r="B544" s="174"/>
      <c r="C544" s="175"/>
      <c r="D544" s="175"/>
      <c r="E544" s="176"/>
      <c r="F544" s="176"/>
      <c r="G544" s="177"/>
      <c r="H544" s="178"/>
      <c r="I544" s="179"/>
      <c r="J544" s="180"/>
      <c r="K544" s="181"/>
    </row>
    <row r="545" ht="22.5" customHeight="1">
      <c r="A545" s="173"/>
      <c r="B545" s="174"/>
      <c r="C545" s="175"/>
      <c r="D545" s="175"/>
      <c r="E545" s="176"/>
      <c r="F545" s="176"/>
      <c r="G545" s="177"/>
      <c r="H545" s="178"/>
      <c r="I545" s="179"/>
      <c r="J545" s="180"/>
      <c r="K545" s="181"/>
    </row>
    <row r="546" ht="22.5" customHeight="1">
      <c r="A546" s="173"/>
      <c r="B546" s="174"/>
      <c r="C546" s="175"/>
      <c r="D546" s="175"/>
      <c r="E546" s="176"/>
      <c r="F546" s="176"/>
      <c r="G546" s="177"/>
      <c r="H546" s="178"/>
      <c r="I546" s="179"/>
      <c r="J546" s="180"/>
      <c r="K546" s="181"/>
    </row>
    <row r="547" ht="22.5" customHeight="1">
      <c r="A547" s="173"/>
      <c r="B547" s="174"/>
      <c r="C547" s="175"/>
      <c r="D547" s="175"/>
      <c r="E547" s="176"/>
      <c r="F547" s="176"/>
      <c r="G547" s="177"/>
      <c r="H547" s="178"/>
      <c r="I547" s="179"/>
      <c r="J547" s="180"/>
      <c r="K547" s="181"/>
    </row>
    <row r="548" ht="22.5" customHeight="1">
      <c r="A548" s="173"/>
      <c r="B548" s="174"/>
      <c r="C548" s="175"/>
      <c r="D548" s="175"/>
      <c r="E548" s="176"/>
      <c r="F548" s="176"/>
      <c r="G548" s="177"/>
      <c r="H548" s="178"/>
      <c r="I548" s="179"/>
      <c r="J548" s="180"/>
      <c r="K548" s="181"/>
    </row>
    <row r="549" ht="22.5" customHeight="1">
      <c r="A549" s="173"/>
      <c r="B549" s="174"/>
      <c r="C549" s="175"/>
      <c r="D549" s="175"/>
      <c r="E549" s="176"/>
      <c r="F549" s="176"/>
      <c r="G549" s="177"/>
      <c r="H549" s="178"/>
      <c r="I549" s="179"/>
      <c r="J549" s="180"/>
      <c r="K549" s="181"/>
    </row>
    <row r="550" ht="22.5" customHeight="1">
      <c r="A550" s="173"/>
      <c r="B550" s="174"/>
      <c r="C550" s="175"/>
      <c r="D550" s="175"/>
      <c r="E550" s="176"/>
      <c r="F550" s="176"/>
      <c r="G550" s="177"/>
      <c r="H550" s="178"/>
      <c r="I550" s="179"/>
      <c r="J550" s="180"/>
      <c r="K550" s="181"/>
    </row>
    <row r="551" ht="22.5" customHeight="1">
      <c r="A551" s="173"/>
      <c r="B551" s="174"/>
      <c r="C551" s="175"/>
      <c r="D551" s="175"/>
      <c r="E551" s="176"/>
      <c r="F551" s="176"/>
      <c r="G551" s="177"/>
      <c r="H551" s="178"/>
      <c r="I551" s="179"/>
      <c r="J551" s="180"/>
      <c r="K551" s="181"/>
    </row>
    <row r="552" ht="22.5" customHeight="1">
      <c r="A552" s="173"/>
      <c r="B552" s="174"/>
      <c r="C552" s="175"/>
      <c r="D552" s="175"/>
      <c r="E552" s="176"/>
      <c r="F552" s="176"/>
      <c r="G552" s="177"/>
      <c r="H552" s="178"/>
      <c r="I552" s="179"/>
      <c r="J552" s="180"/>
      <c r="K552" s="181"/>
    </row>
    <row r="553" ht="22.5" customHeight="1">
      <c r="A553" s="173"/>
      <c r="B553" s="174"/>
      <c r="C553" s="175"/>
      <c r="D553" s="175"/>
      <c r="E553" s="176"/>
      <c r="F553" s="176"/>
      <c r="G553" s="177"/>
      <c r="H553" s="178"/>
      <c r="I553" s="179"/>
      <c r="J553" s="180"/>
      <c r="K553" s="181"/>
    </row>
    <row r="554" ht="22.5" customHeight="1">
      <c r="A554" s="173"/>
      <c r="B554" s="174"/>
      <c r="C554" s="175"/>
      <c r="D554" s="175"/>
      <c r="E554" s="176"/>
      <c r="F554" s="176"/>
      <c r="G554" s="177"/>
      <c r="H554" s="178"/>
      <c r="I554" s="179"/>
      <c r="J554" s="180"/>
      <c r="K554" s="181"/>
    </row>
    <row r="555" ht="22.5" customHeight="1">
      <c r="A555" s="173"/>
      <c r="B555" s="174"/>
      <c r="C555" s="175"/>
      <c r="D555" s="175"/>
      <c r="E555" s="176"/>
      <c r="F555" s="176"/>
      <c r="G555" s="177"/>
      <c r="H555" s="178"/>
      <c r="I555" s="179"/>
      <c r="J555" s="180"/>
      <c r="K555" s="181"/>
    </row>
    <row r="556" ht="22.5" customHeight="1">
      <c r="A556" s="173"/>
      <c r="B556" s="174"/>
      <c r="C556" s="175"/>
      <c r="D556" s="175"/>
      <c r="E556" s="176"/>
      <c r="F556" s="176"/>
      <c r="G556" s="177"/>
      <c r="H556" s="178"/>
      <c r="I556" s="179"/>
      <c r="J556" s="180"/>
      <c r="K556" s="181"/>
    </row>
    <row r="557" ht="22.5" customHeight="1">
      <c r="A557" s="173"/>
      <c r="B557" s="174"/>
      <c r="C557" s="175"/>
      <c r="D557" s="175"/>
      <c r="E557" s="176"/>
      <c r="F557" s="176"/>
      <c r="G557" s="177"/>
      <c r="H557" s="178"/>
      <c r="I557" s="179"/>
      <c r="J557" s="180"/>
      <c r="K557" s="181"/>
    </row>
    <row r="558" ht="22.5" customHeight="1">
      <c r="A558" s="173"/>
      <c r="B558" s="174"/>
      <c r="C558" s="175"/>
      <c r="D558" s="175"/>
      <c r="E558" s="176"/>
      <c r="F558" s="176"/>
      <c r="G558" s="177"/>
      <c r="H558" s="178"/>
      <c r="I558" s="179"/>
      <c r="J558" s="180"/>
      <c r="K558" s="181"/>
    </row>
    <row r="559" ht="22.5" customHeight="1">
      <c r="A559" s="173"/>
      <c r="B559" s="174"/>
      <c r="C559" s="175"/>
      <c r="D559" s="175"/>
      <c r="E559" s="176"/>
      <c r="F559" s="176"/>
      <c r="G559" s="177"/>
      <c r="H559" s="178"/>
      <c r="I559" s="179"/>
      <c r="J559" s="180"/>
      <c r="K559" s="181"/>
    </row>
    <row r="560" ht="22.5" customHeight="1">
      <c r="A560" s="173"/>
      <c r="B560" s="174"/>
      <c r="C560" s="175"/>
      <c r="D560" s="175"/>
      <c r="E560" s="176"/>
      <c r="F560" s="176"/>
      <c r="G560" s="177"/>
      <c r="H560" s="178"/>
      <c r="I560" s="179"/>
      <c r="J560" s="180"/>
      <c r="K560" s="181"/>
    </row>
    <row r="561" ht="22.5" customHeight="1">
      <c r="A561" s="173"/>
      <c r="B561" s="174"/>
      <c r="C561" s="175"/>
      <c r="D561" s="175"/>
      <c r="E561" s="176"/>
      <c r="F561" s="176"/>
      <c r="G561" s="177"/>
      <c r="H561" s="178"/>
      <c r="I561" s="179"/>
      <c r="J561" s="180"/>
      <c r="K561" s="181"/>
    </row>
    <row r="562" ht="22.5" customHeight="1">
      <c r="A562" s="173"/>
      <c r="B562" s="174"/>
      <c r="C562" s="175"/>
      <c r="D562" s="175"/>
      <c r="E562" s="176"/>
      <c r="F562" s="176"/>
      <c r="G562" s="177"/>
      <c r="H562" s="178"/>
      <c r="I562" s="179"/>
      <c r="J562" s="180"/>
      <c r="K562" s="181"/>
    </row>
    <row r="563" ht="22.5" customHeight="1">
      <c r="A563" s="173"/>
      <c r="B563" s="174"/>
      <c r="C563" s="175"/>
      <c r="D563" s="175"/>
      <c r="E563" s="176"/>
      <c r="F563" s="176"/>
      <c r="G563" s="177"/>
      <c r="H563" s="178"/>
      <c r="I563" s="179"/>
      <c r="J563" s="180"/>
      <c r="K563" s="181"/>
    </row>
    <row r="564" ht="22.5" customHeight="1">
      <c r="A564" s="173"/>
      <c r="B564" s="174"/>
      <c r="C564" s="175"/>
      <c r="D564" s="175"/>
      <c r="E564" s="176"/>
      <c r="F564" s="176"/>
      <c r="G564" s="177"/>
      <c r="H564" s="178"/>
      <c r="I564" s="179"/>
      <c r="J564" s="180"/>
      <c r="K564" s="181"/>
    </row>
    <row r="565" ht="22.5" customHeight="1">
      <c r="A565" s="173"/>
      <c r="B565" s="174"/>
      <c r="C565" s="175"/>
      <c r="D565" s="175"/>
      <c r="E565" s="176"/>
      <c r="F565" s="176"/>
      <c r="G565" s="177"/>
      <c r="H565" s="178"/>
      <c r="I565" s="179"/>
      <c r="J565" s="180"/>
      <c r="K565" s="181"/>
    </row>
    <row r="566" ht="22.5" customHeight="1">
      <c r="A566" s="173"/>
      <c r="B566" s="174"/>
      <c r="C566" s="175"/>
      <c r="D566" s="175"/>
      <c r="E566" s="176"/>
      <c r="F566" s="176"/>
      <c r="G566" s="177"/>
      <c r="H566" s="178"/>
      <c r="I566" s="179"/>
      <c r="J566" s="180"/>
      <c r="K566" s="181"/>
    </row>
    <row r="567" ht="22.5" customHeight="1">
      <c r="A567" s="173"/>
      <c r="B567" s="174"/>
      <c r="C567" s="175"/>
      <c r="D567" s="175"/>
      <c r="E567" s="176"/>
      <c r="F567" s="176"/>
      <c r="G567" s="177"/>
      <c r="H567" s="178"/>
      <c r="I567" s="179"/>
      <c r="J567" s="180"/>
      <c r="K567" s="181"/>
    </row>
    <row r="568" ht="22.5" customHeight="1">
      <c r="A568" s="173"/>
      <c r="B568" s="174"/>
      <c r="C568" s="175"/>
      <c r="D568" s="175"/>
      <c r="E568" s="176"/>
      <c r="F568" s="176"/>
      <c r="G568" s="177"/>
      <c r="H568" s="178"/>
      <c r="I568" s="179"/>
      <c r="J568" s="180"/>
      <c r="K568" s="181"/>
    </row>
    <row r="569" ht="22.5" customHeight="1">
      <c r="A569" s="173"/>
      <c r="B569" s="174"/>
      <c r="C569" s="175"/>
      <c r="D569" s="175"/>
      <c r="E569" s="176"/>
      <c r="F569" s="176"/>
      <c r="G569" s="177"/>
      <c r="H569" s="178"/>
      <c r="I569" s="179"/>
      <c r="J569" s="180"/>
      <c r="K569" s="181"/>
    </row>
    <row r="570" ht="22.5" customHeight="1">
      <c r="A570" s="173"/>
      <c r="B570" s="174"/>
      <c r="C570" s="175"/>
      <c r="D570" s="175"/>
      <c r="E570" s="176"/>
      <c r="F570" s="176"/>
      <c r="G570" s="177"/>
      <c r="H570" s="178"/>
      <c r="I570" s="179"/>
      <c r="J570" s="180"/>
      <c r="K570" s="181"/>
    </row>
    <row r="571" ht="22.5" customHeight="1">
      <c r="A571" s="173"/>
      <c r="B571" s="174"/>
      <c r="C571" s="175"/>
      <c r="D571" s="175"/>
      <c r="E571" s="176"/>
      <c r="F571" s="176"/>
      <c r="G571" s="177"/>
      <c r="H571" s="178"/>
      <c r="I571" s="179"/>
      <c r="J571" s="180"/>
      <c r="K571" s="181"/>
    </row>
    <row r="572" ht="22.5" customHeight="1">
      <c r="A572" s="173"/>
      <c r="B572" s="174"/>
      <c r="C572" s="175"/>
      <c r="D572" s="175"/>
      <c r="E572" s="176"/>
      <c r="F572" s="176"/>
      <c r="G572" s="177"/>
      <c r="H572" s="178"/>
      <c r="I572" s="179"/>
      <c r="J572" s="180"/>
      <c r="K572" s="181"/>
    </row>
    <row r="573" ht="22.5" customHeight="1">
      <c r="A573" s="173"/>
      <c r="B573" s="174"/>
      <c r="C573" s="175"/>
      <c r="D573" s="175"/>
      <c r="E573" s="176"/>
      <c r="F573" s="176"/>
      <c r="G573" s="177"/>
      <c r="H573" s="178"/>
      <c r="I573" s="179"/>
      <c r="J573" s="180"/>
      <c r="K573" s="181"/>
    </row>
    <row r="574" ht="22.5" customHeight="1">
      <c r="A574" s="173"/>
      <c r="B574" s="174"/>
      <c r="C574" s="175"/>
      <c r="D574" s="175"/>
      <c r="E574" s="176"/>
      <c r="F574" s="176"/>
      <c r="G574" s="177"/>
      <c r="H574" s="178"/>
      <c r="I574" s="179"/>
      <c r="J574" s="180"/>
      <c r="K574" s="181"/>
    </row>
    <row r="575" ht="22.5" customHeight="1">
      <c r="A575" s="173"/>
      <c r="B575" s="174"/>
      <c r="C575" s="175"/>
      <c r="D575" s="175"/>
      <c r="E575" s="176"/>
      <c r="F575" s="176"/>
      <c r="G575" s="177"/>
      <c r="H575" s="178"/>
      <c r="I575" s="179"/>
      <c r="J575" s="180"/>
      <c r="K575" s="181"/>
    </row>
    <row r="576" ht="22.5" customHeight="1">
      <c r="A576" s="173"/>
      <c r="B576" s="174"/>
      <c r="C576" s="175"/>
      <c r="D576" s="175"/>
      <c r="E576" s="176"/>
      <c r="F576" s="176"/>
      <c r="G576" s="177"/>
      <c r="H576" s="178"/>
      <c r="I576" s="179"/>
      <c r="J576" s="180"/>
      <c r="K576" s="181"/>
    </row>
    <row r="577" ht="22.5" customHeight="1">
      <c r="A577" s="173"/>
      <c r="B577" s="174"/>
      <c r="C577" s="175"/>
      <c r="D577" s="175"/>
      <c r="E577" s="176"/>
      <c r="F577" s="176"/>
      <c r="G577" s="177"/>
      <c r="H577" s="178"/>
      <c r="I577" s="179"/>
      <c r="J577" s="180"/>
      <c r="K577" s="181"/>
    </row>
    <row r="578" ht="22.5" customHeight="1">
      <c r="A578" s="173"/>
      <c r="B578" s="174"/>
      <c r="C578" s="175"/>
      <c r="D578" s="175"/>
      <c r="E578" s="176"/>
      <c r="F578" s="176"/>
      <c r="G578" s="177"/>
      <c r="H578" s="178"/>
      <c r="I578" s="179"/>
      <c r="J578" s="180"/>
      <c r="K578" s="181"/>
    </row>
    <row r="579" ht="22.5" customHeight="1">
      <c r="A579" s="173"/>
      <c r="B579" s="174"/>
      <c r="C579" s="175"/>
      <c r="D579" s="175"/>
      <c r="E579" s="176"/>
      <c r="F579" s="176"/>
      <c r="G579" s="177"/>
      <c r="H579" s="178"/>
      <c r="I579" s="179"/>
      <c r="J579" s="180"/>
      <c r="K579" s="181"/>
    </row>
    <row r="580" ht="22.5" customHeight="1">
      <c r="A580" s="173"/>
      <c r="B580" s="174"/>
      <c r="C580" s="175"/>
      <c r="D580" s="175"/>
      <c r="E580" s="176"/>
      <c r="F580" s="176"/>
      <c r="G580" s="177"/>
      <c r="H580" s="178"/>
      <c r="I580" s="179"/>
      <c r="J580" s="180"/>
      <c r="K580" s="181"/>
    </row>
    <row r="581" ht="22.5" customHeight="1">
      <c r="A581" s="173"/>
      <c r="B581" s="174"/>
      <c r="C581" s="175"/>
      <c r="D581" s="175"/>
      <c r="E581" s="176"/>
      <c r="F581" s="176"/>
      <c r="G581" s="177"/>
      <c r="H581" s="178"/>
      <c r="I581" s="179"/>
      <c r="J581" s="180"/>
      <c r="K581" s="181"/>
    </row>
    <row r="582" ht="22.5" customHeight="1">
      <c r="A582" s="173"/>
      <c r="B582" s="174"/>
      <c r="C582" s="175"/>
      <c r="D582" s="175"/>
      <c r="E582" s="176"/>
      <c r="F582" s="176"/>
      <c r="G582" s="177"/>
      <c r="H582" s="178"/>
      <c r="I582" s="179"/>
      <c r="J582" s="180"/>
      <c r="K582" s="181"/>
    </row>
    <row r="583" ht="22.5" customHeight="1">
      <c r="A583" s="173"/>
      <c r="B583" s="174"/>
      <c r="C583" s="175"/>
      <c r="D583" s="175"/>
      <c r="E583" s="176"/>
      <c r="F583" s="176"/>
      <c r="G583" s="177"/>
      <c r="H583" s="178"/>
      <c r="I583" s="179"/>
      <c r="J583" s="180"/>
      <c r="K583" s="181"/>
    </row>
    <row r="584" ht="22.5" customHeight="1">
      <c r="A584" s="173"/>
      <c r="B584" s="174"/>
      <c r="C584" s="175"/>
      <c r="D584" s="175"/>
      <c r="E584" s="176"/>
      <c r="F584" s="176"/>
      <c r="G584" s="177"/>
      <c r="H584" s="178"/>
      <c r="I584" s="179"/>
      <c r="J584" s="180"/>
      <c r="K584" s="181"/>
    </row>
    <row r="585" ht="22.5" customHeight="1">
      <c r="A585" s="173"/>
      <c r="B585" s="174"/>
      <c r="C585" s="175"/>
      <c r="D585" s="175"/>
      <c r="E585" s="176"/>
      <c r="F585" s="176"/>
      <c r="G585" s="177"/>
      <c r="H585" s="178"/>
      <c r="I585" s="179"/>
      <c r="J585" s="180"/>
      <c r="K585" s="181"/>
    </row>
    <row r="586" ht="22.5" customHeight="1">
      <c r="A586" s="173"/>
      <c r="B586" s="174"/>
      <c r="C586" s="175"/>
      <c r="D586" s="175"/>
      <c r="E586" s="176"/>
      <c r="F586" s="176"/>
      <c r="G586" s="177"/>
      <c r="H586" s="178"/>
      <c r="I586" s="179"/>
      <c r="J586" s="180"/>
      <c r="K586" s="181"/>
    </row>
    <row r="587" ht="22.5" customHeight="1">
      <c r="A587" s="173"/>
      <c r="B587" s="174"/>
      <c r="C587" s="175"/>
      <c r="D587" s="175"/>
      <c r="E587" s="176"/>
      <c r="F587" s="176"/>
      <c r="G587" s="177"/>
      <c r="H587" s="178"/>
      <c r="I587" s="179"/>
      <c r="J587" s="180"/>
      <c r="K587" s="181"/>
    </row>
    <row r="588" ht="22.5" customHeight="1">
      <c r="A588" s="173"/>
      <c r="B588" s="174"/>
      <c r="C588" s="175"/>
      <c r="D588" s="175"/>
      <c r="E588" s="176"/>
      <c r="F588" s="176"/>
      <c r="G588" s="177"/>
      <c r="H588" s="178"/>
      <c r="I588" s="179"/>
      <c r="J588" s="180"/>
      <c r="K588" s="181"/>
    </row>
    <row r="589" ht="22.5" customHeight="1">
      <c r="A589" s="173"/>
      <c r="B589" s="174"/>
      <c r="C589" s="175"/>
      <c r="D589" s="175"/>
      <c r="E589" s="176"/>
      <c r="F589" s="176"/>
      <c r="G589" s="177"/>
      <c r="H589" s="178"/>
      <c r="I589" s="179"/>
      <c r="J589" s="180"/>
      <c r="K589" s="181"/>
    </row>
    <row r="590" ht="22.5" customHeight="1">
      <c r="A590" s="173"/>
      <c r="B590" s="174"/>
      <c r="C590" s="175"/>
      <c r="D590" s="175"/>
      <c r="E590" s="176"/>
      <c r="F590" s="176"/>
      <c r="G590" s="177"/>
      <c r="H590" s="178"/>
      <c r="I590" s="179"/>
      <c r="J590" s="180"/>
      <c r="K590" s="181"/>
    </row>
    <row r="591" ht="22.5" customHeight="1">
      <c r="A591" s="173"/>
      <c r="B591" s="174"/>
      <c r="C591" s="175"/>
      <c r="D591" s="175"/>
      <c r="E591" s="176"/>
      <c r="F591" s="176"/>
      <c r="G591" s="177"/>
      <c r="H591" s="178"/>
      <c r="I591" s="179"/>
      <c r="J591" s="180"/>
      <c r="K591" s="181"/>
    </row>
    <row r="592" ht="22.5" customHeight="1">
      <c r="A592" s="173"/>
      <c r="B592" s="174"/>
      <c r="C592" s="175"/>
      <c r="D592" s="175"/>
      <c r="E592" s="176"/>
      <c r="F592" s="176"/>
      <c r="G592" s="177"/>
      <c r="H592" s="178"/>
      <c r="I592" s="179"/>
      <c r="J592" s="180"/>
      <c r="K592" s="181"/>
    </row>
    <row r="593" ht="22.5" customHeight="1">
      <c r="A593" s="173"/>
      <c r="B593" s="174"/>
      <c r="C593" s="175"/>
      <c r="D593" s="175"/>
      <c r="E593" s="176"/>
      <c r="F593" s="176"/>
      <c r="G593" s="177"/>
      <c r="H593" s="178"/>
      <c r="I593" s="179"/>
      <c r="J593" s="180"/>
      <c r="K593" s="181"/>
    </row>
    <row r="594" ht="22.5" customHeight="1">
      <c r="A594" s="173"/>
      <c r="B594" s="174"/>
      <c r="C594" s="175"/>
      <c r="D594" s="175"/>
      <c r="E594" s="176"/>
      <c r="F594" s="176"/>
      <c r="G594" s="177"/>
      <c r="H594" s="178"/>
      <c r="I594" s="179"/>
      <c r="J594" s="180"/>
      <c r="K594" s="181"/>
    </row>
    <row r="595" ht="22.5" customHeight="1">
      <c r="A595" s="173"/>
      <c r="B595" s="174"/>
      <c r="C595" s="175"/>
      <c r="D595" s="175"/>
      <c r="E595" s="176"/>
      <c r="F595" s="176"/>
      <c r="G595" s="177"/>
      <c r="H595" s="178"/>
      <c r="I595" s="179"/>
      <c r="J595" s="180"/>
      <c r="K595" s="181"/>
    </row>
    <row r="596" ht="22.5" customHeight="1">
      <c r="A596" s="173"/>
      <c r="B596" s="174"/>
      <c r="C596" s="175"/>
      <c r="D596" s="175"/>
      <c r="E596" s="176"/>
      <c r="F596" s="176"/>
      <c r="G596" s="177"/>
      <c r="H596" s="178"/>
      <c r="I596" s="179"/>
      <c r="J596" s="180"/>
      <c r="K596" s="181"/>
    </row>
    <row r="597" ht="22.5" customHeight="1">
      <c r="A597" s="173"/>
      <c r="B597" s="174"/>
      <c r="C597" s="175"/>
      <c r="D597" s="175"/>
      <c r="E597" s="176"/>
      <c r="F597" s="176"/>
      <c r="G597" s="177"/>
      <c r="H597" s="178"/>
      <c r="I597" s="179"/>
      <c r="J597" s="180"/>
      <c r="K597" s="181"/>
    </row>
    <row r="598" ht="22.5" customHeight="1">
      <c r="A598" s="173"/>
      <c r="B598" s="174"/>
      <c r="C598" s="175"/>
      <c r="D598" s="175"/>
      <c r="E598" s="176"/>
      <c r="F598" s="176"/>
      <c r="G598" s="177"/>
      <c r="H598" s="178"/>
      <c r="I598" s="179"/>
      <c r="J598" s="180"/>
      <c r="K598" s="181"/>
    </row>
    <row r="599" ht="22.5" customHeight="1">
      <c r="A599" s="173"/>
      <c r="B599" s="174"/>
      <c r="C599" s="175"/>
      <c r="D599" s="175"/>
      <c r="E599" s="176"/>
      <c r="F599" s="176"/>
      <c r="G599" s="177"/>
      <c r="H599" s="178"/>
      <c r="I599" s="179"/>
      <c r="J599" s="180"/>
      <c r="K599" s="181"/>
    </row>
    <row r="600" ht="22.5" customHeight="1">
      <c r="A600" s="173"/>
      <c r="B600" s="174"/>
      <c r="C600" s="175"/>
      <c r="D600" s="175"/>
      <c r="E600" s="176"/>
      <c r="F600" s="176"/>
      <c r="G600" s="177"/>
      <c r="H600" s="178"/>
      <c r="I600" s="179"/>
      <c r="J600" s="180"/>
      <c r="K600" s="181"/>
    </row>
    <row r="601" ht="22.5" customHeight="1">
      <c r="A601" s="173"/>
      <c r="B601" s="174"/>
      <c r="C601" s="175"/>
      <c r="D601" s="175"/>
      <c r="E601" s="176"/>
      <c r="F601" s="176"/>
      <c r="G601" s="177"/>
      <c r="H601" s="178"/>
      <c r="I601" s="179"/>
      <c r="J601" s="180"/>
      <c r="K601" s="181"/>
    </row>
    <row r="602" ht="22.5" customHeight="1">
      <c r="A602" s="173"/>
      <c r="B602" s="174"/>
      <c r="C602" s="175"/>
      <c r="D602" s="175"/>
      <c r="E602" s="176"/>
      <c r="F602" s="176"/>
      <c r="G602" s="177"/>
      <c r="H602" s="178"/>
      <c r="I602" s="179"/>
      <c r="J602" s="180"/>
      <c r="K602" s="181"/>
    </row>
    <row r="603" ht="22.5" customHeight="1">
      <c r="A603" s="173"/>
      <c r="B603" s="174"/>
      <c r="C603" s="175"/>
      <c r="D603" s="175"/>
      <c r="E603" s="176"/>
      <c r="F603" s="176"/>
      <c r="G603" s="177"/>
      <c r="H603" s="178"/>
      <c r="I603" s="179"/>
      <c r="J603" s="180"/>
      <c r="K603" s="181"/>
    </row>
    <row r="604" ht="22.5" customHeight="1">
      <c r="A604" s="173"/>
      <c r="B604" s="174"/>
      <c r="C604" s="175"/>
      <c r="D604" s="175"/>
      <c r="E604" s="176"/>
      <c r="F604" s="176"/>
      <c r="G604" s="177"/>
      <c r="H604" s="178"/>
      <c r="I604" s="179"/>
      <c r="J604" s="180"/>
      <c r="K604" s="181"/>
    </row>
    <row r="605" ht="22.5" customHeight="1">
      <c r="A605" s="173"/>
      <c r="B605" s="174"/>
      <c r="C605" s="175"/>
      <c r="D605" s="175"/>
      <c r="E605" s="176"/>
      <c r="F605" s="176"/>
      <c r="G605" s="177"/>
      <c r="H605" s="178"/>
      <c r="I605" s="179"/>
      <c r="J605" s="180"/>
      <c r="K605" s="181"/>
    </row>
    <row r="606" ht="22.5" customHeight="1">
      <c r="A606" s="173"/>
      <c r="B606" s="174"/>
      <c r="C606" s="175"/>
      <c r="D606" s="175"/>
      <c r="E606" s="176"/>
      <c r="F606" s="176"/>
      <c r="G606" s="177"/>
      <c r="H606" s="178"/>
      <c r="I606" s="179"/>
      <c r="J606" s="180"/>
      <c r="K606" s="181"/>
    </row>
    <row r="607" ht="22.5" customHeight="1">
      <c r="A607" s="173"/>
      <c r="B607" s="174"/>
      <c r="C607" s="175"/>
      <c r="D607" s="175"/>
      <c r="E607" s="176"/>
      <c r="F607" s="176"/>
      <c r="G607" s="177"/>
      <c r="H607" s="178"/>
      <c r="I607" s="179"/>
      <c r="J607" s="180"/>
      <c r="K607" s="181"/>
    </row>
    <row r="608" ht="22.5" customHeight="1">
      <c r="A608" s="173"/>
      <c r="B608" s="174"/>
      <c r="C608" s="175"/>
      <c r="D608" s="175"/>
      <c r="E608" s="176"/>
      <c r="F608" s="176"/>
      <c r="G608" s="177"/>
      <c r="H608" s="178"/>
      <c r="I608" s="179"/>
      <c r="J608" s="180"/>
      <c r="K608" s="181"/>
    </row>
    <row r="609" ht="22.5" customHeight="1">
      <c r="A609" s="173"/>
      <c r="B609" s="174"/>
      <c r="C609" s="175"/>
      <c r="D609" s="175"/>
      <c r="E609" s="176"/>
      <c r="F609" s="176"/>
      <c r="G609" s="177"/>
      <c r="H609" s="178"/>
      <c r="I609" s="179"/>
      <c r="J609" s="180"/>
      <c r="K609" s="181"/>
    </row>
    <row r="610" ht="22.5" customHeight="1">
      <c r="A610" s="173"/>
      <c r="B610" s="174"/>
      <c r="C610" s="175"/>
      <c r="D610" s="175"/>
      <c r="E610" s="176"/>
      <c r="F610" s="176"/>
      <c r="G610" s="177"/>
      <c r="H610" s="178"/>
      <c r="I610" s="179"/>
      <c r="J610" s="180"/>
      <c r="K610" s="181"/>
    </row>
    <row r="611" ht="22.5" customHeight="1">
      <c r="A611" s="173"/>
      <c r="B611" s="174"/>
      <c r="C611" s="175"/>
      <c r="D611" s="175"/>
      <c r="E611" s="176"/>
      <c r="F611" s="176"/>
      <c r="G611" s="177"/>
      <c r="H611" s="178"/>
      <c r="I611" s="179"/>
      <c r="J611" s="180"/>
      <c r="K611" s="181"/>
    </row>
    <row r="612" ht="22.5" customHeight="1">
      <c r="A612" s="173"/>
      <c r="B612" s="174"/>
      <c r="C612" s="175"/>
      <c r="D612" s="175"/>
      <c r="E612" s="176"/>
      <c r="F612" s="176"/>
      <c r="G612" s="177"/>
      <c r="H612" s="178"/>
      <c r="I612" s="179"/>
      <c r="J612" s="180"/>
      <c r="K612" s="181"/>
    </row>
    <row r="613" ht="22.5" customHeight="1">
      <c r="A613" s="173"/>
      <c r="B613" s="174"/>
      <c r="C613" s="175"/>
      <c r="D613" s="175"/>
      <c r="E613" s="176"/>
      <c r="F613" s="176"/>
      <c r="G613" s="177"/>
      <c r="H613" s="178"/>
      <c r="I613" s="179"/>
      <c r="J613" s="180"/>
      <c r="K613" s="181"/>
    </row>
    <row r="614" ht="22.5" customHeight="1">
      <c r="A614" s="173"/>
      <c r="B614" s="174"/>
      <c r="C614" s="175"/>
      <c r="D614" s="175"/>
      <c r="E614" s="176"/>
      <c r="F614" s="176"/>
      <c r="G614" s="177"/>
      <c r="H614" s="178"/>
      <c r="I614" s="179"/>
      <c r="J614" s="180"/>
      <c r="K614" s="181"/>
    </row>
    <row r="615" ht="22.5" customHeight="1">
      <c r="A615" s="173"/>
      <c r="B615" s="174"/>
      <c r="C615" s="175"/>
      <c r="D615" s="175"/>
      <c r="E615" s="176"/>
      <c r="F615" s="176"/>
      <c r="G615" s="177"/>
      <c r="H615" s="178"/>
      <c r="I615" s="179"/>
      <c r="J615" s="180"/>
      <c r="K615" s="181"/>
    </row>
    <row r="616" ht="22.5" customHeight="1">
      <c r="A616" s="173"/>
      <c r="B616" s="174"/>
      <c r="C616" s="175"/>
      <c r="D616" s="175"/>
      <c r="E616" s="176"/>
      <c r="F616" s="176"/>
      <c r="G616" s="177"/>
      <c r="H616" s="178"/>
      <c r="I616" s="179"/>
      <c r="J616" s="180"/>
      <c r="K616" s="181"/>
    </row>
    <row r="617" ht="22.5" customHeight="1">
      <c r="A617" s="173"/>
      <c r="B617" s="174"/>
      <c r="C617" s="175"/>
      <c r="D617" s="175"/>
      <c r="E617" s="176"/>
      <c r="F617" s="176"/>
      <c r="G617" s="177"/>
      <c r="H617" s="178"/>
      <c r="I617" s="179"/>
      <c r="J617" s="180"/>
      <c r="K617" s="181"/>
    </row>
    <row r="618" ht="22.5" customHeight="1">
      <c r="A618" s="173"/>
      <c r="B618" s="174"/>
      <c r="C618" s="175"/>
      <c r="D618" s="175"/>
      <c r="E618" s="176"/>
      <c r="F618" s="176"/>
      <c r="G618" s="177"/>
      <c r="H618" s="178"/>
      <c r="I618" s="179"/>
      <c r="J618" s="180"/>
      <c r="K618" s="181"/>
    </row>
    <row r="619" ht="22.5" customHeight="1">
      <c r="A619" s="173"/>
      <c r="B619" s="174"/>
      <c r="C619" s="175"/>
      <c r="D619" s="175"/>
      <c r="E619" s="176"/>
      <c r="F619" s="176"/>
      <c r="G619" s="177"/>
      <c r="H619" s="178"/>
      <c r="I619" s="179"/>
      <c r="J619" s="180"/>
      <c r="K619" s="181"/>
    </row>
    <row r="620" ht="22.5" customHeight="1">
      <c r="A620" s="173"/>
      <c r="B620" s="174"/>
      <c r="C620" s="175"/>
      <c r="D620" s="175"/>
      <c r="E620" s="176"/>
      <c r="F620" s="176"/>
      <c r="G620" s="177"/>
      <c r="H620" s="178"/>
      <c r="I620" s="179"/>
      <c r="J620" s="180"/>
      <c r="K620" s="181"/>
    </row>
    <row r="621" ht="22.5" customHeight="1">
      <c r="A621" s="173"/>
      <c r="B621" s="174"/>
      <c r="C621" s="175"/>
      <c r="D621" s="175"/>
      <c r="E621" s="176"/>
      <c r="F621" s="176"/>
      <c r="G621" s="177"/>
      <c r="H621" s="178"/>
      <c r="I621" s="179"/>
      <c r="J621" s="180"/>
      <c r="K621" s="181"/>
    </row>
    <row r="622" ht="22.5" customHeight="1">
      <c r="A622" s="173"/>
      <c r="B622" s="174"/>
      <c r="C622" s="175"/>
      <c r="D622" s="175"/>
      <c r="E622" s="176"/>
      <c r="F622" s="176"/>
      <c r="G622" s="177"/>
      <c r="H622" s="178"/>
      <c r="I622" s="179"/>
      <c r="J622" s="180"/>
      <c r="K622" s="181"/>
    </row>
    <row r="623" ht="22.5" customHeight="1">
      <c r="A623" s="173"/>
      <c r="B623" s="174"/>
      <c r="C623" s="175"/>
      <c r="D623" s="175"/>
      <c r="E623" s="176"/>
      <c r="F623" s="176"/>
      <c r="G623" s="177"/>
      <c r="H623" s="178"/>
      <c r="I623" s="179"/>
      <c r="J623" s="180"/>
      <c r="K623" s="181"/>
    </row>
    <row r="624" ht="22.5" customHeight="1">
      <c r="A624" s="173"/>
      <c r="B624" s="174"/>
      <c r="C624" s="175"/>
      <c r="D624" s="175"/>
      <c r="E624" s="176"/>
      <c r="F624" s="176"/>
      <c r="G624" s="177"/>
      <c r="H624" s="178"/>
      <c r="I624" s="179"/>
      <c r="J624" s="180"/>
      <c r="K624" s="181"/>
    </row>
    <row r="625" ht="22.5" customHeight="1">
      <c r="A625" s="173"/>
      <c r="B625" s="174"/>
      <c r="C625" s="175"/>
      <c r="D625" s="175"/>
      <c r="E625" s="176"/>
      <c r="F625" s="176"/>
      <c r="G625" s="177"/>
      <c r="H625" s="178"/>
      <c r="I625" s="179"/>
      <c r="J625" s="180"/>
      <c r="K625" s="181"/>
    </row>
    <row r="626" ht="22.5" customHeight="1">
      <c r="A626" s="173"/>
      <c r="B626" s="174"/>
      <c r="C626" s="175"/>
      <c r="D626" s="175"/>
      <c r="E626" s="176"/>
      <c r="F626" s="176"/>
      <c r="G626" s="177"/>
      <c r="H626" s="178"/>
      <c r="I626" s="179"/>
      <c r="J626" s="180"/>
      <c r="K626" s="181"/>
    </row>
    <row r="627" ht="22.5" customHeight="1">
      <c r="A627" s="173"/>
      <c r="B627" s="174"/>
      <c r="C627" s="175"/>
      <c r="D627" s="175"/>
      <c r="E627" s="176"/>
      <c r="F627" s="176"/>
      <c r="G627" s="177"/>
      <c r="H627" s="178"/>
      <c r="I627" s="179"/>
      <c r="J627" s="180"/>
      <c r="K627" s="181"/>
    </row>
    <row r="628" ht="22.5" customHeight="1">
      <c r="A628" s="173"/>
      <c r="B628" s="174"/>
      <c r="C628" s="175"/>
      <c r="D628" s="175"/>
      <c r="E628" s="176"/>
      <c r="F628" s="176"/>
      <c r="G628" s="177"/>
      <c r="H628" s="178"/>
      <c r="I628" s="179"/>
      <c r="J628" s="180"/>
      <c r="K628" s="181"/>
    </row>
    <row r="629" ht="22.5" customHeight="1">
      <c r="A629" s="173"/>
      <c r="B629" s="174"/>
      <c r="C629" s="175"/>
      <c r="D629" s="175"/>
      <c r="E629" s="176"/>
      <c r="F629" s="176"/>
      <c r="G629" s="177"/>
      <c r="H629" s="178"/>
      <c r="I629" s="179"/>
      <c r="J629" s="180"/>
      <c r="K629" s="181"/>
    </row>
    <row r="630" ht="22.5" customHeight="1">
      <c r="A630" s="173"/>
      <c r="B630" s="174"/>
      <c r="C630" s="175"/>
      <c r="D630" s="175"/>
      <c r="E630" s="176"/>
      <c r="F630" s="176"/>
      <c r="G630" s="177"/>
      <c r="H630" s="178"/>
      <c r="I630" s="179"/>
      <c r="J630" s="180"/>
      <c r="K630" s="181"/>
    </row>
    <row r="631" ht="22.5" customHeight="1">
      <c r="A631" s="173"/>
      <c r="B631" s="174"/>
      <c r="C631" s="175"/>
      <c r="D631" s="175"/>
      <c r="E631" s="176"/>
      <c r="F631" s="176"/>
      <c r="G631" s="177"/>
      <c r="H631" s="178"/>
      <c r="I631" s="179"/>
      <c r="J631" s="180"/>
      <c r="K631" s="181"/>
    </row>
    <row r="632" ht="22.5" customHeight="1">
      <c r="A632" s="173"/>
      <c r="B632" s="174"/>
      <c r="C632" s="175"/>
      <c r="D632" s="175"/>
      <c r="E632" s="176"/>
      <c r="F632" s="176"/>
      <c r="G632" s="177"/>
      <c r="H632" s="178"/>
      <c r="I632" s="179"/>
      <c r="J632" s="180"/>
      <c r="K632" s="181"/>
    </row>
    <row r="633" ht="22.5" customHeight="1">
      <c r="A633" s="173"/>
      <c r="B633" s="174"/>
      <c r="C633" s="175"/>
      <c r="D633" s="175"/>
      <c r="E633" s="176"/>
      <c r="F633" s="176"/>
      <c r="G633" s="177"/>
      <c r="H633" s="178"/>
      <c r="I633" s="179"/>
      <c r="J633" s="180"/>
      <c r="K633" s="181"/>
    </row>
    <row r="634" ht="22.5" customHeight="1">
      <c r="A634" s="173"/>
      <c r="B634" s="174"/>
      <c r="C634" s="175"/>
      <c r="D634" s="175"/>
      <c r="E634" s="176"/>
      <c r="F634" s="176"/>
      <c r="G634" s="177"/>
      <c r="H634" s="178"/>
      <c r="I634" s="179"/>
      <c r="J634" s="180"/>
      <c r="K634" s="181"/>
    </row>
    <row r="635" ht="22.5" customHeight="1">
      <c r="A635" s="173"/>
      <c r="B635" s="174"/>
      <c r="C635" s="175"/>
      <c r="D635" s="175"/>
      <c r="E635" s="176"/>
      <c r="F635" s="176"/>
      <c r="G635" s="177"/>
      <c r="H635" s="178"/>
      <c r="I635" s="179"/>
      <c r="J635" s="180"/>
      <c r="K635" s="181"/>
    </row>
    <row r="636" ht="22.5" customHeight="1">
      <c r="A636" s="173"/>
      <c r="B636" s="174"/>
      <c r="C636" s="175"/>
      <c r="D636" s="175"/>
      <c r="E636" s="176"/>
      <c r="F636" s="176"/>
      <c r="G636" s="177"/>
      <c r="H636" s="178"/>
      <c r="I636" s="179"/>
      <c r="J636" s="180"/>
      <c r="K636" s="181"/>
    </row>
    <row r="637" ht="22.5" customHeight="1">
      <c r="A637" s="173"/>
      <c r="B637" s="174"/>
      <c r="C637" s="175"/>
      <c r="D637" s="175"/>
      <c r="E637" s="176"/>
      <c r="F637" s="176"/>
      <c r="G637" s="177"/>
      <c r="H637" s="178"/>
      <c r="I637" s="179"/>
      <c r="J637" s="180"/>
      <c r="K637" s="181"/>
    </row>
    <row r="638" ht="22.5" customHeight="1">
      <c r="A638" s="173"/>
      <c r="B638" s="174"/>
      <c r="C638" s="175"/>
      <c r="D638" s="175"/>
      <c r="E638" s="176"/>
      <c r="F638" s="176"/>
      <c r="G638" s="177"/>
      <c r="H638" s="178"/>
      <c r="I638" s="179"/>
      <c r="J638" s="180"/>
      <c r="K638" s="181"/>
    </row>
    <row r="639" ht="22.5" customHeight="1">
      <c r="A639" s="173"/>
      <c r="B639" s="174"/>
      <c r="C639" s="175"/>
      <c r="D639" s="175"/>
      <c r="E639" s="176"/>
      <c r="F639" s="176"/>
      <c r="G639" s="177"/>
      <c r="H639" s="178"/>
      <c r="I639" s="179"/>
      <c r="J639" s="180"/>
      <c r="K639" s="181"/>
    </row>
    <row r="640" ht="22.5" customHeight="1">
      <c r="A640" s="173"/>
      <c r="B640" s="174"/>
      <c r="C640" s="175"/>
      <c r="D640" s="175"/>
      <c r="E640" s="176"/>
      <c r="F640" s="176"/>
      <c r="G640" s="177"/>
      <c r="H640" s="178"/>
      <c r="I640" s="179"/>
      <c r="J640" s="180"/>
      <c r="K640" s="181"/>
    </row>
    <row r="641" ht="22.5" customHeight="1">
      <c r="A641" s="173"/>
      <c r="B641" s="174"/>
      <c r="C641" s="175"/>
      <c r="D641" s="175"/>
      <c r="E641" s="176"/>
      <c r="F641" s="176"/>
      <c r="G641" s="177"/>
      <c r="H641" s="178"/>
      <c r="I641" s="179"/>
      <c r="J641" s="180"/>
      <c r="K641" s="181"/>
    </row>
    <row r="642" ht="22.5" customHeight="1">
      <c r="A642" s="173"/>
      <c r="B642" s="174"/>
      <c r="C642" s="175"/>
      <c r="D642" s="175"/>
      <c r="E642" s="176"/>
      <c r="F642" s="176"/>
      <c r="G642" s="177"/>
      <c r="H642" s="178"/>
      <c r="I642" s="179"/>
      <c r="J642" s="180"/>
      <c r="K642" s="181"/>
    </row>
    <row r="643" ht="22.5" customHeight="1">
      <c r="A643" s="173"/>
      <c r="B643" s="174"/>
      <c r="C643" s="175"/>
      <c r="D643" s="175"/>
      <c r="E643" s="176"/>
      <c r="F643" s="176"/>
      <c r="G643" s="177"/>
      <c r="H643" s="178"/>
      <c r="I643" s="179"/>
      <c r="J643" s="180"/>
      <c r="K643" s="181"/>
    </row>
    <row r="644" ht="22.5" customHeight="1">
      <c r="A644" s="173"/>
      <c r="B644" s="174"/>
      <c r="C644" s="175"/>
      <c r="D644" s="175"/>
      <c r="E644" s="176"/>
      <c r="F644" s="176"/>
      <c r="G644" s="177"/>
      <c r="H644" s="178"/>
      <c r="I644" s="179"/>
      <c r="J644" s="180"/>
      <c r="K644" s="181"/>
    </row>
    <row r="645" ht="22.5" customHeight="1">
      <c r="A645" s="173"/>
      <c r="B645" s="174"/>
      <c r="C645" s="175"/>
      <c r="D645" s="175"/>
      <c r="E645" s="176"/>
      <c r="F645" s="176"/>
      <c r="G645" s="177"/>
      <c r="H645" s="178"/>
      <c r="I645" s="179"/>
      <c r="J645" s="180"/>
      <c r="K645" s="181"/>
    </row>
    <row r="646" ht="22.5" customHeight="1">
      <c r="A646" s="173"/>
      <c r="B646" s="174"/>
      <c r="C646" s="175"/>
      <c r="D646" s="175"/>
      <c r="E646" s="176"/>
      <c r="F646" s="176"/>
      <c r="G646" s="177"/>
      <c r="H646" s="178"/>
      <c r="I646" s="179"/>
      <c r="J646" s="180"/>
      <c r="K646" s="181"/>
    </row>
    <row r="647" ht="22.5" customHeight="1">
      <c r="A647" s="173"/>
      <c r="B647" s="174"/>
      <c r="C647" s="175"/>
      <c r="D647" s="175"/>
      <c r="E647" s="176"/>
      <c r="F647" s="176"/>
      <c r="G647" s="177"/>
      <c r="H647" s="178"/>
      <c r="I647" s="179"/>
      <c r="J647" s="180"/>
      <c r="K647" s="181"/>
    </row>
    <row r="648" ht="22.5" customHeight="1">
      <c r="A648" s="173"/>
      <c r="B648" s="174"/>
      <c r="C648" s="175"/>
      <c r="D648" s="175"/>
      <c r="E648" s="176"/>
      <c r="F648" s="176"/>
      <c r="G648" s="177"/>
      <c r="H648" s="178"/>
      <c r="I648" s="179"/>
      <c r="J648" s="180"/>
      <c r="K648" s="181"/>
    </row>
    <row r="649" ht="22.5" customHeight="1">
      <c r="A649" s="173"/>
      <c r="B649" s="174"/>
      <c r="C649" s="175"/>
      <c r="D649" s="175"/>
      <c r="E649" s="176"/>
      <c r="F649" s="176"/>
      <c r="G649" s="177"/>
      <c r="H649" s="178"/>
      <c r="I649" s="179"/>
      <c r="J649" s="180"/>
      <c r="K649" s="181"/>
    </row>
    <row r="650" ht="22.5" customHeight="1">
      <c r="A650" s="173"/>
      <c r="B650" s="174"/>
      <c r="C650" s="175"/>
      <c r="D650" s="175"/>
      <c r="E650" s="176"/>
      <c r="F650" s="176"/>
      <c r="G650" s="177"/>
      <c r="H650" s="178"/>
      <c r="I650" s="179"/>
      <c r="J650" s="180"/>
      <c r="K650" s="181"/>
    </row>
    <row r="651" ht="22.5" customHeight="1">
      <c r="A651" s="173"/>
      <c r="B651" s="174"/>
      <c r="C651" s="175"/>
      <c r="D651" s="175"/>
      <c r="E651" s="176"/>
      <c r="F651" s="176"/>
      <c r="G651" s="177"/>
      <c r="H651" s="178"/>
      <c r="I651" s="179"/>
      <c r="J651" s="180"/>
      <c r="K651" s="181"/>
    </row>
    <row r="652" ht="22.5" customHeight="1">
      <c r="A652" s="173"/>
      <c r="B652" s="174"/>
      <c r="C652" s="175"/>
      <c r="D652" s="175"/>
      <c r="E652" s="176"/>
      <c r="F652" s="176"/>
      <c r="G652" s="177"/>
      <c r="H652" s="178"/>
      <c r="I652" s="179"/>
      <c r="J652" s="180"/>
      <c r="K652" s="181"/>
    </row>
    <row r="653" ht="22.5" customHeight="1">
      <c r="A653" s="173"/>
      <c r="B653" s="174"/>
      <c r="C653" s="175"/>
      <c r="D653" s="175"/>
      <c r="E653" s="176"/>
      <c r="F653" s="176"/>
      <c r="G653" s="177"/>
      <c r="H653" s="178"/>
      <c r="I653" s="179"/>
      <c r="J653" s="180"/>
      <c r="K653" s="181"/>
    </row>
    <row r="654" ht="22.5" customHeight="1">
      <c r="A654" s="173"/>
      <c r="B654" s="174"/>
      <c r="C654" s="175"/>
      <c r="D654" s="175"/>
      <c r="E654" s="176"/>
      <c r="F654" s="176"/>
      <c r="G654" s="177"/>
      <c r="H654" s="178"/>
      <c r="I654" s="179"/>
      <c r="J654" s="180"/>
      <c r="K654" s="181"/>
    </row>
    <row r="655" ht="22.5" customHeight="1">
      <c r="A655" s="173"/>
      <c r="B655" s="174"/>
      <c r="C655" s="175"/>
      <c r="D655" s="175"/>
      <c r="E655" s="176"/>
      <c r="F655" s="176"/>
      <c r="G655" s="177"/>
      <c r="H655" s="178"/>
      <c r="I655" s="179"/>
      <c r="J655" s="180"/>
      <c r="K655" s="181"/>
    </row>
    <row r="656" ht="22.5" customHeight="1">
      <c r="A656" s="173"/>
      <c r="B656" s="174"/>
      <c r="C656" s="175"/>
      <c r="D656" s="175"/>
      <c r="E656" s="176"/>
      <c r="F656" s="176"/>
      <c r="G656" s="177"/>
      <c r="H656" s="178"/>
      <c r="I656" s="179"/>
      <c r="J656" s="180"/>
      <c r="K656" s="181"/>
    </row>
    <row r="657" ht="22.5" customHeight="1">
      <c r="A657" s="173"/>
      <c r="B657" s="174"/>
      <c r="C657" s="175"/>
      <c r="D657" s="175"/>
      <c r="E657" s="176"/>
      <c r="F657" s="176"/>
      <c r="G657" s="177"/>
      <c r="H657" s="178"/>
      <c r="I657" s="179"/>
      <c r="J657" s="180"/>
      <c r="K657" s="181"/>
    </row>
    <row r="658" ht="22.5" customHeight="1">
      <c r="A658" s="173"/>
      <c r="B658" s="174"/>
      <c r="C658" s="175"/>
      <c r="D658" s="175"/>
      <c r="E658" s="176"/>
      <c r="F658" s="176"/>
      <c r="G658" s="177"/>
      <c r="H658" s="178"/>
      <c r="I658" s="179"/>
      <c r="J658" s="180"/>
      <c r="K658" s="181"/>
    </row>
    <row r="659" ht="22.5" customHeight="1">
      <c r="A659" s="173"/>
      <c r="B659" s="174"/>
      <c r="C659" s="175"/>
      <c r="D659" s="175"/>
      <c r="E659" s="176"/>
      <c r="F659" s="176"/>
      <c r="G659" s="177"/>
      <c r="H659" s="178"/>
      <c r="I659" s="179"/>
      <c r="J659" s="180"/>
      <c r="K659" s="181"/>
    </row>
    <row r="660" ht="22.5" customHeight="1">
      <c r="A660" s="173"/>
      <c r="B660" s="174"/>
      <c r="C660" s="175"/>
      <c r="D660" s="175"/>
      <c r="E660" s="176"/>
      <c r="F660" s="176"/>
      <c r="G660" s="177"/>
      <c r="H660" s="178"/>
      <c r="I660" s="179"/>
      <c r="J660" s="180"/>
      <c r="K660" s="181"/>
    </row>
    <row r="661" ht="22.5" customHeight="1">
      <c r="A661" s="173"/>
      <c r="B661" s="174"/>
      <c r="C661" s="175"/>
      <c r="D661" s="175"/>
      <c r="E661" s="176"/>
      <c r="F661" s="176"/>
      <c r="G661" s="177"/>
      <c r="H661" s="178"/>
      <c r="I661" s="179"/>
      <c r="J661" s="180"/>
      <c r="K661" s="181"/>
    </row>
    <row r="662" ht="22.5" customHeight="1">
      <c r="A662" s="173"/>
      <c r="B662" s="174"/>
      <c r="C662" s="175"/>
      <c r="D662" s="175"/>
      <c r="E662" s="176"/>
      <c r="F662" s="176"/>
      <c r="G662" s="177"/>
      <c r="H662" s="178"/>
      <c r="I662" s="179"/>
      <c r="J662" s="180"/>
      <c r="K662" s="181"/>
    </row>
    <row r="663" ht="22.5" customHeight="1">
      <c r="A663" s="173"/>
      <c r="B663" s="174"/>
      <c r="C663" s="175"/>
      <c r="D663" s="175"/>
      <c r="E663" s="176"/>
      <c r="F663" s="176"/>
      <c r="G663" s="177"/>
      <c r="H663" s="178"/>
      <c r="I663" s="179"/>
      <c r="J663" s="180"/>
      <c r="K663" s="181"/>
    </row>
    <row r="664" ht="22.5" customHeight="1">
      <c r="A664" s="173"/>
      <c r="B664" s="174"/>
      <c r="C664" s="175"/>
      <c r="D664" s="175"/>
      <c r="E664" s="176"/>
      <c r="F664" s="176"/>
      <c r="G664" s="177"/>
      <c r="H664" s="178"/>
      <c r="I664" s="179"/>
      <c r="J664" s="180"/>
      <c r="K664" s="181"/>
    </row>
    <row r="665" ht="22.5" customHeight="1">
      <c r="A665" s="173"/>
      <c r="B665" s="174"/>
      <c r="C665" s="175"/>
      <c r="D665" s="175"/>
      <c r="E665" s="176"/>
      <c r="F665" s="176"/>
      <c r="G665" s="177"/>
      <c r="H665" s="178"/>
      <c r="I665" s="179"/>
      <c r="J665" s="180"/>
      <c r="K665" s="181"/>
    </row>
    <row r="666" ht="22.5" customHeight="1">
      <c r="A666" s="173"/>
      <c r="B666" s="174"/>
      <c r="C666" s="175"/>
      <c r="D666" s="175"/>
      <c r="E666" s="176"/>
      <c r="F666" s="176"/>
      <c r="G666" s="177"/>
      <c r="H666" s="178"/>
      <c r="I666" s="179"/>
      <c r="J666" s="180"/>
      <c r="K666" s="181"/>
    </row>
    <row r="667" ht="22.5" customHeight="1">
      <c r="A667" s="173"/>
      <c r="B667" s="174"/>
      <c r="C667" s="175"/>
      <c r="D667" s="175"/>
      <c r="E667" s="176"/>
      <c r="F667" s="176"/>
      <c r="G667" s="177"/>
      <c r="H667" s="178"/>
      <c r="I667" s="179"/>
      <c r="J667" s="180"/>
      <c r="K667" s="181"/>
    </row>
    <row r="668" ht="22.5" customHeight="1">
      <c r="A668" s="173"/>
      <c r="B668" s="174"/>
      <c r="C668" s="175"/>
      <c r="D668" s="175"/>
      <c r="E668" s="176"/>
      <c r="F668" s="176"/>
      <c r="G668" s="177"/>
      <c r="H668" s="178"/>
      <c r="I668" s="179"/>
      <c r="J668" s="180"/>
      <c r="K668" s="181"/>
    </row>
    <row r="669" ht="22.5" customHeight="1">
      <c r="A669" s="173"/>
      <c r="B669" s="174"/>
      <c r="C669" s="175"/>
      <c r="D669" s="175"/>
      <c r="E669" s="176"/>
      <c r="F669" s="176"/>
      <c r="G669" s="177"/>
      <c r="H669" s="178"/>
      <c r="I669" s="179"/>
      <c r="J669" s="180"/>
      <c r="K669" s="181"/>
    </row>
    <row r="670" ht="22.5" customHeight="1">
      <c r="A670" s="173"/>
      <c r="B670" s="174"/>
      <c r="C670" s="175"/>
      <c r="D670" s="175"/>
      <c r="E670" s="176"/>
      <c r="F670" s="176"/>
      <c r="G670" s="177"/>
      <c r="H670" s="178"/>
      <c r="I670" s="179"/>
      <c r="J670" s="180"/>
      <c r="K670" s="181"/>
    </row>
    <row r="671" ht="22.5" customHeight="1">
      <c r="A671" s="173"/>
      <c r="B671" s="174"/>
      <c r="C671" s="175"/>
      <c r="D671" s="175"/>
      <c r="E671" s="176"/>
      <c r="F671" s="176"/>
      <c r="G671" s="177"/>
      <c r="H671" s="178"/>
      <c r="I671" s="179"/>
      <c r="J671" s="180"/>
      <c r="K671" s="181"/>
    </row>
    <row r="672" ht="22.5" customHeight="1">
      <c r="A672" s="173"/>
      <c r="B672" s="174"/>
      <c r="C672" s="175"/>
      <c r="D672" s="175"/>
      <c r="E672" s="176"/>
      <c r="F672" s="176"/>
      <c r="G672" s="177"/>
      <c r="H672" s="178"/>
      <c r="I672" s="179"/>
      <c r="J672" s="180"/>
      <c r="K672" s="181"/>
    </row>
    <row r="673" ht="22.5" customHeight="1">
      <c r="A673" s="173"/>
      <c r="B673" s="174"/>
      <c r="C673" s="175"/>
      <c r="D673" s="175"/>
      <c r="E673" s="176"/>
      <c r="F673" s="176"/>
      <c r="G673" s="177"/>
      <c r="H673" s="178"/>
      <c r="I673" s="179"/>
      <c r="J673" s="180"/>
      <c r="K673" s="181"/>
    </row>
    <row r="674" ht="22.5" customHeight="1">
      <c r="A674" s="173"/>
      <c r="B674" s="174"/>
      <c r="C674" s="175"/>
      <c r="D674" s="175"/>
      <c r="E674" s="176"/>
      <c r="F674" s="176"/>
      <c r="G674" s="177"/>
      <c r="H674" s="178"/>
      <c r="I674" s="179"/>
      <c r="J674" s="180"/>
      <c r="K674" s="181"/>
    </row>
    <row r="675" ht="22.5" customHeight="1">
      <c r="A675" s="173"/>
      <c r="B675" s="174"/>
      <c r="C675" s="175"/>
      <c r="D675" s="175"/>
      <c r="E675" s="176"/>
      <c r="F675" s="176"/>
      <c r="G675" s="177"/>
      <c r="H675" s="178"/>
      <c r="I675" s="179"/>
      <c r="J675" s="180"/>
      <c r="K675" s="181"/>
    </row>
    <row r="676" ht="22.5" customHeight="1">
      <c r="A676" s="173"/>
      <c r="B676" s="174"/>
      <c r="C676" s="175"/>
      <c r="D676" s="175"/>
      <c r="E676" s="176"/>
      <c r="F676" s="176"/>
      <c r="G676" s="177"/>
      <c r="H676" s="178"/>
      <c r="I676" s="179"/>
      <c r="J676" s="180"/>
      <c r="K676" s="181"/>
    </row>
    <row r="677" ht="22.5" customHeight="1">
      <c r="A677" s="173"/>
      <c r="B677" s="174"/>
      <c r="C677" s="175"/>
      <c r="D677" s="175"/>
      <c r="E677" s="176"/>
      <c r="F677" s="176"/>
      <c r="G677" s="177"/>
      <c r="H677" s="178"/>
      <c r="I677" s="179"/>
      <c r="J677" s="180"/>
      <c r="K677" s="181"/>
    </row>
    <row r="678" ht="22.5" customHeight="1">
      <c r="A678" s="173"/>
      <c r="B678" s="174"/>
      <c r="C678" s="175"/>
      <c r="D678" s="175"/>
      <c r="E678" s="176"/>
      <c r="F678" s="176"/>
      <c r="G678" s="177"/>
      <c r="H678" s="178"/>
      <c r="I678" s="179"/>
      <c r="J678" s="180"/>
      <c r="K678" s="181"/>
    </row>
    <row r="679" ht="22.5" customHeight="1">
      <c r="A679" s="173"/>
      <c r="B679" s="174"/>
      <c r="C679" s="175"/>
      <c r="D679" s="175"/>
      <c r="E679" s="176"/>
      <c r="F679" s="176"/>
      <c r="G679" s="177"/>
      <c r="H679" s="178"/>
      <c r="I679" s="179"/>
      <c r="J679" s="180"/>
      <c r="K679" s="181"/>
    </row>
    <row r="680" ht="22.5" customHeight="1">
      <c r="A680" s="173"/>
      <c r="B680" s="174"/>
      <c r="C680" s="175"/>
      <c r="D680" s="175"/>
      <c r="E680" s="176"/>
      <c r="F680" s="176"/>
      <c r="G680" s="177"/>
      <c r="H680" s="178"/>
      <c r="I680" s="179"/>
      <c r="J680" s="180"/>
      <c r="K680" s="181"/>
    </row>
    <row r="681" ht="22.5" customHeight="1">
      <c r="A681" s="173"/>
      <c r="B681" s="174"/>
      <c r="C681" s="175"/>
      <c r="D681" s="175"/>
      <c r="E681" s="176"/>
      <c r="F681" s="176"/>
      <c r="G681" s="177"/>
      <c r="H681" s="178"/>
      <c r="I681" s="179"/>
      <c r="J681" s="180"/>
      <c r="K681" s="181"/>
    </row>
    <row r="682" ht="22.5" customHeight="1">
      <c r="A682" s="173"/>
      <c r="B682" s="174"/>
      <c r="C682" s="175"/>
      <c r="D682" s="175"/>
      <c r="E682" s="176"/>
      <c r="F682" s="176"/>
      <c r="G682" s="177"/>
      <c r="H682" s="178"/>
      <c r="I682" s="179"/>
      <c r="J682" s="180"/>
      <c r="K682" s="181"/>
    </row>
    <row r="683" ht="22.5" customHeight="1">
      <c r="A683" s="173"/>
      <c r="B683" s="174"/>
      <c r="C683" s="175"/>
      <c r="D683" s="175"/>
      <c r="E683" s="176"/>
      <c r="F683" s="176"/>
      <c r="G683" s="177"/>
      <c r="H683" s="178"/>
      <c r="I683" s="179"/>
      <c r="J683" s="180"/>
      <c r="K683" s="181"/>
    </row>
    <row r="684" ht="22.5" customHeight="1">
      <c r="A684" s="173"/>
      <c r="B684" s="174"/>
      <c r="C684" s="175"/>
      <c r="D684" s="175"/>
      <c r="E684" s="176"/>
      <c r="F684" s="176"/>
      <c r="G684" s="177"/>
      <c r="H684" s="178"/>
      <c r="I684" s="179"/>
      <c r="J684" s="180"/>
      <c r="K684" s="181"/>
    </row>
    <row r="685" ht="22.5" customHeight="1">
      <c r="A685" s="173"/>
      <c r="B685" s="174"/>
      <c r="C685" s="175"/>
      <c r="D685" s="175"/>
      <c r="E685" s="176"/>
      <c r="F685" s="176"/>
      <c r="G685" s="177"/>
      <c r="H685" s="178"/>
      <c r="I685" s="179"/>
      <c r="J685" s="180"/>
      <c r="K685" s="181"/>
    </row>
    <row r="686" ht="22.5" customHeight="1">
      <c r="A686" s="173"/>
      <c r="B686" s="174"/>
      <c r="C686" s="175"/>
      <c r="D686" s="175"/>
      <c r="E686" s="176"/>
      <c r="F686" s="176"/>
      <c r="G686" s="177"/>
      <c r="H686" s="178"/>
      <c r="I686" s="179"/>
      <c r="J686" s="180"/>
      <c r="K686" s="181"/>
    </row>
    <row r="687" ht="22.5" customHeight="1">
      <c r="A687" s="173"/>
      <c r="B687" s="174"/>
      <c r="C687" s="175"/>
      <c r="D687" s="175"/>
      <c r="E687" s="176"/>
      <c r="F687" s="176"/>
      <c r="G687" s="177"/>
      <c r="H687" s="178"/>
      <c r="I687" s="179"/>
      <c r="J687" s="180"/>
      <c r="K687" s="181"/>
    </row>
    <row r="688" ht="22.5" customHeight="1">
      <c r="A688" s="173"/>
      <c r="B688" s="174"/>
      <c r="C688" s="175"/>
      <c r="D688" s="175"/>
      <c r="E688" s="176"/>
      <c r="F688" s="176"/>
      <c r="G688" s="177"/>
      <c r="H688" s="178"/>
      <c r="I688" s="179"/>
      <c r="J688" s="180"/>
      <c r="K688" s="181"/>
    </row>
    <row r="689" ht="22.5" customHeight="1">
      <c r="A689" s="173"/>
      <c r="B689" s="174"/>
      <c r="C689" s="175"/>
      <c r="D689" s="175"/>
      <c r="E689" s="176"/>
      <c r="F689" s="176"/>
      <c r="G689" s="177"/>
      <c r="H689" s="178"/>
      <c r="I689" s="179"/>
      <c r="J689" s="180"/>
      <c r="K689" s="181"/>
    </row>
    <row r="690" ht="22.5" customHeight="1">
      <c r="A690" s="173"/>
      <c r="B690" s="174"/>
      <c r="C690" s="175"/>
      <c r="D690" s="175"/>
      <c r="E690" s="176"/>
      <c r="F690" s="176"/>
      <c r="G690" s="177"/>
      <c r="H690" s="178"/>
      <c r="I690" s="179"/>
      <c r="J690" s="180"/>
      <c r="K690" s="181"/>
    </row>
    <row r="691" ht="22.5" customHeight="1">
      <c r="A691" s="173"/>
      <c r="B691" s="174"/>
      <c r="C691" s="175"/>
      <c r="D691" s="175"/>
      <c r="E691" s="176"/>
      <c r="F691" s="176"/>
      <c r="G691" s="177"/>
      <c r="H691" s="178"/>
      <c r="I691" s="179"/>
      <c r="J691" s="180"/>
      <c r="K691" s="181"/>
    </row>
    <row r="692" ht="22.5" customHeight="1">
      <c r="A692" s="173"/>
      <c r="B692" s="174"/>
      <c r="C692" s="175"/>
      <c r="D692" s="175"/>
      <c r="E692" s="176"/>
      <c r="F692" s="176"/>
      <c r="G692" s="177"/>
      <c r="H692" s="178"/>
      <c r="I692" s="179"/>
      <c r="J692" s="180"/>
      <c r="K692" s="181"/>
    </row>
    <row r="693" ht="22.5" customHeight="1">
      <c r="A693" s="173"/>
      <c r="B693" s="174"/>
      <c r="C693" s="175"/>
      <c r="D693" s="175"/>
      <c r="E693" s="176"/>
      <c r="F693" s="176"/>
      <c r="G693" s="177"/>
      <c r="H693" s="178"/>
      <c r="I693" s="179"/>
      <c r="J693" s="180"/>
      <c r="K693" s="181"/>
    </row>
    <row r="694" ht="22.5" customHeight="1">
      <c r="A694" s="173"/>
      <c r="B694" s="174"/>
      <c r="C694" s="175"/>
      <c r="D694" s="175"/>
      <c r="E694" s="176"/>
      <c r="F694" s="176"/>
      <c r="G694" s="177"/>
      <c r="H694" s="178"/>
      <c r="I694" s="179"/>
      <c r="J694" s="180"/>
      <c r="K694" s="181"/>
    </row>
    <row r="695" ht="22.5" customHeight="1">
      <c r="A695" s="173"/>
      <c r="B695" s="174"/>
      <c r="C695" s="175"/>
      <c r="D695" s="175"/>
      <c r="E695" s="176"/>
      <c r="F695" s="176"/>
      <c r="G695" s="177"/>
      <c r="H695" s="178"/>
      <c r="I695" s="179"/>
      <c r="J695" s="180"/>
      <c r="K695" s="181"/>
    </row>
    <row r="696" ht="22.5" customHeight="1">
      <c r="A696" s="173"/>
      <c r="B696" s="174"/>
      <c r="C696" s="175"/>
      <c r="D696" s="175"/>
      <c r="E696" s="176"/>
      <c r="F696" s="176"/>
      <c r="G696" s="177"/>
      <c r="H696" s="178"/>
      <c r="I696" s="179"/>
      <c r="J696" s="180"/>
      <c r="K696" s="181"/>
    </row>
    <row r="697" ht="22.5" customHeight="1">
      <c r="A697" s="173"/>
      <c r="B697" s="174"/>
      <c r="C697" s="175"/>
      <c r="D697" s="175"/>
      <c r="E697" s="176"/>
      <c r="F697" s="176"/>
      <c r="G697" s="177"/>
      <c r="H697" s="178"/>
      <c r="I697" s="179"/>
      <c r="J697" s="180"/>
      <c r="K697" s="181"/>
    </row>
    <row r="698" ht="22.5" customHeight="1">
      <c r="A698" s="173"/>
      <c r="B698" s="174"/>
      <c r="C698" s="175"/>
      <c r="D698" s="175"/>
      <c r="E698" s="176"/>
      <c r="F698" s="176"/>
      <c r="G698" s="177"/>
      <c r="H698" s="178"/>
      <c r="I698" s="179"/>
      <c r="J698" s="180"/>
      <c r="K698" s="181"/>
    </row>
    <row r="699" ht="22.5" customHeight="1">
      <c r="A699" s="173"/>
      <c r="B699" s="174"/>
      <c r="C699" s="175"/>
      <c r="D699" s="175"/>
      <c r="E699" s="176"/>
      <c r="F699" s="176"/>
      <c r="G699" s="177"/>
      <c r="H699" s="178"/>
      <c r="I699" s="179"/>
      <c r="J699" s="180"/>
      <c r="K699" s="181"/>
    </row>
    <row r="700" ht="22.5" customHeight="1">
      <c r="A700" s="173"/>
      <c r="B700" s="174"/>
      <c r="C700" s="175"/>
      <c r="D700" s="175"/>
      <c r="E700" s="176"/>
      <c r="F700" s="176"/>
      <c r="G700" s="177"/>
      <c r="H700" s="178"/>
      <c r="I700" s="179"/>
      <c r="J700" s="180"/>
      <c r="K700" s="181"/>
    </row>
    <row r="701" ht="22.5" customHeight="1">
      <c r="A701" s="173"/>
      <c r="B701" s="174"/>
      <c r="C701" s="175"/>
      <c r="D701" s="175"/>
      <c r="E701" s="176"/>
      <c r="F701" s="176"/>
      <c r="G701" s="177"/>
      <c r="H701" s="178"/>
      <c r="I701" s="179"/>
      <c r="J701" s="180"/>
      <c r="K701" s="181"/>
    </row>
    <row r="702" ht="22.5" customHeight="1">
      <c r="A702" s="173"/>
      <c r="B702" s="174"/>
      <c r="C702" s="175"/>
      <c r="D702" s="175"/>
      <c r="E702" s="176"/>
      <c r="F702" s="176"/>
      <c r="G702" s="177"/>
      <c r="H702" s="178"/>
      <c r="I702" s="179"/>
      <c r="J702" s="180"/>
      <c r="K702" s="181"/>
    </row>
    <row r="703" ht="22.5" customHeight="1">
      <c r="A703" s="173"/>
      <c r="B703" s="174"/>
      <c r="C703" s="175"/>
      <c r="D703" s="175"/>
      <c r="E703" s="176"/>
      <c r="F703" s="176"/>
      <c r="G703" s="177"/>
      <c r="H703" s="178"/>
      <c r="I703" s="179"/>
      <c r="J703" s="180"/>
      <c r="K703" s="181"/>
    </row>
    <row r="704" ht="22.5" customHeight="1">
      <c r="A704" s="173"/>
      <c r="B704" s="174"/>
      <c r="C704" s="175"/>
      <c r="D704" s="175"/>
      <c r="E704" s="176"/>
      <c r="F704" s="176"/>
      <c r="G704" s="177"/>
      <c r="H704" s="178"/>
      <c r="I704" s="179"/>
      <c r="J704" s="180"/>
      <c r="K704" s="181"/>
    </row>
    <row r="705" ht="22.5" customHeight="1">
      <c r="A705" s="173"/>
      <c r="B705" s="174"/>
      <c r="C705" s="175"/>
      <c r="D705" s="175"/>
      <c r="E705" s="176"/>
      <c r="F705" s="176"/>
      <c r="G705" s="177"/>
      <c r="H705" s="178"/>
      <c r="I705" s="179"/>
      <c r="J705" s="180"/>
      <c r="K705" s="181"/>
    </row>
    <row r="706" ht="22.5" customHeight="1">
      <c r="A706" s="173"/>
      <c r="B706" s="174"/>
      <c r="C706" s="175"/>
      <c r="D706" s="175"/>
      <c r="E706" s="176"/>
      <c r="F706" s="176"/>
      <c r="G706" s="177"/>
      <c r="H706" s="178"/>
      <c r="I706" s="179"/>
      <c r="J706" s="180"/>
      <c r="K706" s="181"/>
    </row>
    <row r="707" ht="22.5" customHeight="1">
      <c r="A707" s="173"/>
      <c r="B707" s="174"/>
      <c r="C707" s="175"/>
      <c r="D707" s="175"/>
      <c r="E707" s="176"/>
      <c r="F707" s="176"/>
      <c r="G707" s="177"/>
      <c r="H707" s="178"/>
      <c r="I707" s="179"/>
      <c r="J707" s="180"/>
      <c r="K707" s="181"/>
    </row>
    <row r="708" ht="22.5" customHeight="1">
      <c r="A708" s="173"/>
      <c r="B708" s="174"/>
      <c r="C708" s="175"/>
      <c r="D708" s="175"/>
      <c r="E708" s="176"/>
      <c r="F708" s="176"/>
      <c r="G708" s="177"/>
      <c r="H708" s="178"/>
      <c r="I708" s="179"/>
      <c r="J708" s="180"/>
      <c r="K708" s="181"/>
    </row>
    <row r="709" ht="22.5" customHeight="1">
      <c r="A709" s="173"/>
      <c r="B709" s="174"/>
      <c r="C709" s="175"/>
      <c r="D709" s="175"/>
      <c r="E709" s="176"/>
      <c r="F709" s="176"/>
      <c r="G709" s="177"/>
      <c r="H709" s="178"/>
      <c r="I709" s="179"/>
      <c r="J709" s="180"/>
      <c r="K709" s="181"/>
    </row>
    <row r="710" ht="22.5" customHeight="1">
      <c r="A710" s="173"/>
      <c r="B710" s="174"/>
      <c r="C710" s="175"/>
      <c r="D710" s="175"/>
      <c r="E710" s="176"/>
      <c r="F710" s="176"/>
      <c r="G710" s="177"/>
      <c r="H710" s="178"/>
      <c r="I710" s="179"/>
      <c r="J710" s="180"/>
      <c r="K710" s="181"/>
    </row>
    <row r="711" ht="22.5" customHeight="1">
      <c r="A711" s="173"/>
      <c r="B711" s="174"/>
      <c r="C711" s="175"/>
      <c r="D711" s="175"/>
      <c r="E711" s="176"/>
      <c r="F711" s="176"/>
      <c r="G711" s="177"/>
      <c r="H711" s="178"/>
      <c r="I711" s="179"/>
      <c r="J711" s="180"/>
      <c r="K711" s="181"/>
    </row>
    <row r="712" ht="22.5" customHeight="1">
      <c r="A712" s="173"/>
      <c r="B712" s="174"/>
      <c r="C712" s="175"/>
      <c r="D712" s="175"/>
      <c r="E712" s="176"/>
      <c r="F712" s="176"/>
      <c r="G712" s="177"/>
      <c r="H712" s="178"/>
      <c r="I712" s="179"/>
      <c r="J712" s="180"/>
      <c r="K712" s="181"/>
    </row>
    <row r="713" ht="22.5" customHeight="1">
      <c r="A713" s="173"/>
      <c r="B713" s="174"/>
      <c r="C713" s="175"/>
      <c r="D713" s="175"/>
      <c r="E713" s="176"/>
      <c r="F713" s="176"/>
      <c r="G713" s="177"/>
      <c r="H713" s="178"/>
      <c r="I713" s="179"/>
      <c r="J713" s="180"/>
      <c r="K713" s="181"/>
    </row>
    <row r="714" ht="22.5" customHeight="1">
      <c r="A714" s="173"/>
      <c r="B714" s="174"/>
      <c r="C714" s="175"/>
      <c r="D714" s="175"/>
      <c r="E714" s="176"/>
      <c r="F714" s="176"/>
      <c r="G714" s="177"/>
      <c r="H714" s="178"/>
      <c r="I714" s="179"/>
      <c r="J714" s="180"/>
      <c r="K714" s="181"/>
    </row>
    <row r="715" ht="22.5" customHeight="1">
      <c r="A715" s="173"/>
      <c r="B715" s="174"/>
      <c r="C715" s="175"/>
      <c r="D715" s="175"/>
      <c r="E715" s="176"/>
      <c r="F715" s="176"/>
      <c r="G715" s="177"/>
      <c r="H715" s="178"/>
      <c r="I715" s="179"/>
      <c r="J715" s="180"/>
      <c r="K715" s="181"/>
    </row>
    <row r="716" ht="22.5" customHeight="1">
      <c r="A716" s="173"/>
      <c r="B716" s="174"/>
      <c r="C716" s="175"/>
      <c r="D716" s="175"/>
      <c r="E716" s="176"/>
      <c r="F716" s="176"/>
      <c r="G716" s="177"/>
      <c r="H716" s="178"/>
      <c r="I716" s="179"/>
      <c r="J716" s="180"/>
      <c r="K716" s="181"/>
    </row>
    <row r="717" ht="22.5" customHeight="1">
      <c r="A717" s="173"/>
      <c r="B717" s="174"/>
      <c r="C717" s="175"/>
      <c r="D717" s="175"/>
      <c r="E717" s="176"/>
      <c r="F717" s="176"/>
      <c r="G717" s="177"/>
      <c r="H717" s="178"/>
      <c r="I717" s="179"/>
      <c r="J717" s="180"/>
      <c r="K717" s="181"/>
    </row>
    <row r="718" ht="22.5" customHeight="1">
      <c r="A718" s="173"/>
      <c r="B718" s="174"/>
      <c r="C718" s="175"/>
      <c r="D718" s="175"/>
      <c r="E718" s="176"/>
      <c r="F718" s="176"/>
      <c r="G718" s="177"/>
      <c r="H718" s="178"/>
      <c r="I718" s="179"/>
      <c r="J718" s="180"/>
      <c r="K718" s="181"/>
    </row>
    <row r="719" ht="22.5" customHeight="1">
      <c r="A719" s="173"/>
      <c r="B719" s="174"/>
      <c r="C719" s="175"/>
      <c r="D719" s="175"/>
      <c r="E719" s="176"/>
      <c r="F719" s="176"/>
      <c r="G719" s="177"/>
      <c r="H719" s="178"/>
      <c r="I719" s="179"/>
      <c r="J719" s="180"/>
      <c r="K719" s="181"/>
    </row>
    <row r="720" ht="22.5" customHeight="1">
      <c r="A720" s="173"/>
      <c r="B720" s="174"/>
      <c r="C720" s="175"/>
      <c r="D720" s="175"/>
      <c r="E720" s="176"/>
      <c r="F720" s="176"/>
      <c r="G720" s="177"/>
      <c r="H720" s="178"/>
      <c r="I720" s="179"/>
      <c r="J720" s="180"/>
      <c r="K720" s="181"/>
    </row>
    <row r="721" ht="22.5" customHeight="1">
      <c r="A721" s="173"/>
      <c r="B721" s="174"/>
      <c r="C721" s="175"/>
      <c r="D721" s="175"/>
      <c r="E721" s="176"/>
      <c r="F721" s="176"/>
      <c r="G721" s="177"/>
      <c r="H721" s="178"/>
      <c r="I721" s="179"/>
      <c r="J721" s="180"/>
      <c r="K721" s="181"/>
    </row>
    <row r="722" ht="22.5" customHeight="1">
      <c r="A722" s="173"/>
      <c r="B722" s="174"/>
      <c r="C722" s="175"/>
      <c r="D722" s="175"/>
      <c r="E722" s="176"/>
      <c r="F722" s="176"/>
      <c r="G722" s="177"/>
      <c r="H722" s="178"/>
      <c r="I722" s="179"/>
      <c r="J722" s="180"/>
      <c r="K722" s="181"/>
    </row>
    <row r="723" ht="22.5" customHeight="1">
      <c r="A723" s="173"/>
      <c r="B723" s="174"/>
      <c r="C723" s="175"/>
      <c r="D723" s="175"/>
      <c r="E723" s="176"/>
      <c r="F723" s="176"/>
      <c r="G723" s="177"/>
      <c r="H723" s="178"/>
      <c r="I723" s="179"/>
      <c r="J723" s="180"/>
      <c r="K723" s="181"/>
    </row>
    <row r="724" ht="22.5" customHeight="1">
      <c r="A724" s="173"/>
      <c r="B724" s="174"/>
      <c r="C724" s="175"/>
      <c r="D724" s="175"/>
      <c r="E724" s="176"/>
      <c r="F724" s="176"/>
      <c r="G724" s="177"/>
      <c r="H724" s="178"/>
      <c r="I724" s="179"/>
      <c r="J724" s="180"/>
      <c r="K724" s="181"/>
    </row>
    <row r="725" ht="22.5" customHeight="1">
      <c r="A725" s="173"/>
      <c r="B725" s="174"/>
      <c r="C725" s="175"/>
      <c r="D725" s="175"/>
      <c r="E725" s="176"/>
      <c r="F725" s="176"/>
      <c r="G725" s="177"/>
      <c r="H725" s="178"/>
      <c r="I725" s="179"/>
      <c r="J725" s="180"/>
      <c r="K725" s="181"/>
    </row>
    <row r="726" ht="22.5" customHeight="1">
      <c r="A726" s="173"/>
      <c r="B726" s="174"/>
      <c r="C726" s="175"/>
      <c r="D726" s="175"/>
      <c r="E726" s="176"/>
      <c r="F726" s="176"/>
      <c r="G726" s="177"/>
      <c r="H726" s="178"/>
      <c r="I726" s="179"/>
      <c r="J726" s="180"/>
      <c r="K726" s="181"/>
    </row>
    <row r="727" ht="22.5" customHeight="1">
      <c r="A727" s="173"/>
      <c r="B727" s="174"/>
      <c r="C727" s="175"/>
      <c r="D727" s="175"/>
      <c r="E727" s="176"/>
      <c r="F727" s="176"/>
      <c r="G727" s="177"/>
      <c r="H727" s="178"/>
      <c r="I727" s="179"/>
      <c r="J727" s="180"/>
      <c r="K727" s="181"/>
    </row>
    <row r="728" ht="22.5" customHeight="1">
      <c r="A728" s="173"/>
      <c r="B728" s="174"/>
      <c r="C728" s="175"/>
      <c r="D728" s="175"/>
      <c r="E728" s="176"/>
      <c r="F728" s="176"/>
      <c r="G728" s="177"/>
      <c r="H728" s="178"/>
      <c r="I728" s="179"/>
      <c r="J728" s="180"/>
      <c r="K728" s="181"/>
    </row>
    <row r="729" ht="22.5" customHeight="1">
      <c r="A729" s="173"/>
      <c r="B729" s="174"/>
      <c r="C729" s="175"/>
      <c r="D729" s="175"/>
      <c r="E729" s="176"/>
      <c r="F729" s="176"/>
      <c r="G729" s="177"/>
      <c r="H729" s="178"/>
      <c r="I729" s="179"/>
      <c r="J729" s="180"/>
      <c r="K729" s="181"/>
    </row>
    <row r="730" ht="22.5" customHeight="1">
      <c r="A730" s="173"/>
      <c r="B730" s="174"/>
      <c r="C730" s="175"/>
      <c r="D730" s="175"/>
      <c r="E730" s="176"/>
      <c r="F730" s="176"/>
      <c r="G730" s="177"/>
      <c r="H730" s="178"/>
      <c r="I730" s="179"/>
      <c r="J730" s="180"/>
      <c r="K730" s="181"/>
    </row>
    <row r="731" ht="22.5" customHeight="1">
      <c r="A731" s="173"/>
      <c r="B731" s="174"/>
      <c r="C731" s="175"/>
      <c r="D731" s="175"/>
      <c r="E731" s="176"/>
      <c r="F731" s="176"/>
      <c r="G731" s="177"/>
      <c r="H731" s="178"/>
      <c r="I731" s="179"/>
      <c r="J731" s="180"/>
      <c r="K731" s="181"/>
    </row>
    <row r="732" ht="22.5" customHeight="1">
      <c r="A732" s="173"/>
      <c r="B732" s="174"/>
      <c r="C732" s="175"/>
      <c r="D732" s="175"/>
      <c r="E732" s="176"/>
      <c r="F732" s="176"/>
      <c r="G732" s="177"/>
      <c r="H732" s="178"/>
      <c r="I732" s="179"/>
      <c r="J732" s="180"/>
      <c r="K732" s="181"/>
    </row>
    <row r="733" ht="22.5" customHeight="1">
      <c r="A733" s="173"/>
      <c r="B733" s="174"/>
      <c r="C733" s="175"/>
      <c r="D733" s="175"/>
      <c r="E733" s="176"/>
      <c r="F733" s="176"/>
      <c r="G733" s="177"/>
      <c r="H733" s="178"/>
      <c r="I733" s="179"/>
      <c r="J733" s="180"/>
      <c r="K733" s="181"/>
    </row>
    <row r="734" ht="22.5" customHeight="1">
      <c r="A734" s="173"/>
      <c r="B734" s="174"/>
      <c r="C734" s="175"/>
      <c r="D734" s="175"/>
      <c r="E734" s="176"/>
      <c r="F734" s="176"/>
      <c r="G734" s="177"/>
      <c r="H734" s="178"/>
      <c r="I734" s="179"/>
      <c r="J734" s="180"/>
      <c r="K734" s="181"/>
    </row>
    <row r="735" ht="22.5" customHeight="1">
      <c r="A735" s="173"/>
      <c r="B735" s="174"/>
      <c r="C735" s="175"/>
      <c r="D735" s="175"/>
      <c r="E735" s="176"/>
      <c r="F735" s="176"/>
      <c r="G735" s="177"/>
      <c r="H735" s="178"/>
      <c r="I735" s="179"/>
      <c r="J735" s="180"/>
      <c r="K735" s="181"/>
    </row>
    <row r="736" ht="22.5" customHeight="1">
      <c r="A736" s="173"/>
      <c r="B736" s="174"/>
      <c r="C736" s="175"/>
      <c r="D736" s="175"/>
      <c r="E736" s="176"/>
      <c r="F736" s="176"/>
      <c r="G736" s="177"/>
      <c r="H736" s="178"/>
      <c r="I736" s="179"/>
      <c r="J736" s="180"/>
      <c r="K736" s="181"/>
    </row>
    <row r="737" ht="22.5" customHeight="1">
      <c r="A737" s="173"/>
      <c r="B737" s="174"/>
      <c r="C737" s="175"/>
      <c r="D737" s="175"/>
      <c r="E737" s="176"/>
      <c r="F737" s="176"/>
      <c r="G737" s="177"/>
      <c r="H737" s="178"/>
      <c r="I737" s="179"/>
      <c r="J737" s="180"/>
      <c r="K737" s="181"/>
    </row>
    <row r="738" ht="22.5" customHeight="1">
      <c r="A738" s="173"/>
      <c r="B738" s="174"/>
      <c r="C738" s="175"/>
      <c r="D738" s="175"/>
      <c r="E738" s="176"/>
      <c r="F738" s="176"/>
      <c r="G738" s="177"/>
      <c r="H738" s="178"/>
      <c r="I738" s="179"/>
      <c r="J738" s="180"/>
      <c r="K738" s="181"/>
    </row>
    <row r="739" ht="22.5" customHeight="1">
      <c r="A739" s="173"/>
      <c r="B739" s="174"/>
      <c r="C739" s="175"/>
      <c r="D739" s="175"/>
      <c r="E739" s="176"/>
      <c r="F739" s="176"/>
      <c r="G739" s="177"/>
      <c r="H739" s="178"/>
      <c r="I739" s="179"/>
      <c r="J739" s="180"/>
      <c r="K739" s="181"/>
    </row>
    <row r="740" ht="22.5" customHeight="1">
      <c r="A740" s="173"/>
      <c r="B740" s="174"/>
      <c r="C740" s="175"/>
      <c r="D740" s="175"/>
      <c r="E740" s="176"/>
      <c r="F740" s="176"/>
      <c r="G740" s="177"/>
      <c r="H740" s="178"/>
      <c r="I740" s="179"/>
      <c r="J740" s="180"/>
      <c r="K740" s="181"/>
    </row>
    <row r="741" ht="22.5" customHeight="1">
      <c r="A741" s="173"/>
      <c r="B741" s="174"/>
      <c r="C741" s="175"/>
      <c r="D741" s="175"/>
      <c r="E741" s="176"/>
      <c r="F741" s="176"/>
      <c r="G741" s="177"/>
      <c r="H741" s="178"/>
      <c r="I741" s="179"/>
      <c r="J741" s="180"/>
      <c r="K741" s="181"/>
    </row>
    <row r="742" ht="22.5" customHeight="1">
      <c r="A742" s="173"/>
      <c r="B742" s="174"/>
      <c r="C742" s="175"/>
      <c r="D742" s="175"/>
      <c r="E742" s="176"/>
      <c r="F742" s="176"/>
      <c r="G742" s="177"/>
      <c r="H742" s="178"/>
      <c r="I742" s="179"/>
      <c r="J742" s="180"/>
      <c r="K742" s="181"/>
    </row>
    <row r="743" ht="22.5" customHeight="1">
      <c r="A743" s="173"/>
      <c r="B743" s="174"/>
      <c r="C743" s="175"/>
      <c r="D743" s="175"/>
      <c r="E743" s="176"/>
      <c r="F743" s="176"/>
      <c r="G743" s="177"/>
      <c r="H743" s="178"/>
      <c r="I743" s="179"/>
      <c r="J743" s="180"/>
      <c r="K743" s="181"/>
    </row>
    <row r="744" ht="22.5" customHeight="1">
      <c r="A744" s="173"/>
      <c r="B744" s="174"/>
      <c r="C744" s="175"/>
      <c r="D744" s="175"/>
      <c r="E744" s="176"/>
      <c r="F744" s="176"/>
      <c r="G744" s="177"/>
      <c r="H744" s="178"/>
      <c r="I744" s="179"/>
      <c r="J744" s="180"/>
      <c r="K744" s="181"/>
    </row>
    <row r="745" ht="22.5" customHeight="1">
      <c r="A745" s="173"/>
      <c r="B745" s="174"/>
      <c r="C745" s="175"/>
      <c r="D745" s="175"/>
      <c r="E745" s="176"/>
      <c r="F745" s="176"/>
      <c r="G745" s="177"/>
      <c r="H745" s="178"/>
      <c r="I745" s="179"/>
      <c r="J745" s="180"/>
      <c r="K745" s="181"/>
    </row>
    <row r="746" ht="22.5" customHeight="1">
      <c r="A746" s="173"/>
      <c r="B746" s="174"/>
      <c r="C746" s="175"/>
      <c r="D746" s="175"/>
      <c r="E746" s="176"/>
      <c r="F746" s="176"/>
      <c r="G746" s="177"/>
      <c r="H746" s="178"/>
      <c r="I746" s="179"/>
      <c r="J746" s="180"/>
      <c r="K746" s="181"/>
    </row>
    <row r="747" ht="22.5" customHeight="1">
      <c r="A747" s="173"/>
      <c r="B747" s="174"/>
      <c r="C747" s="175"/>
      <c r="D747" s="175"/>
      <c r="E747" s="176"/>
      <c r="F747" s="176"/>
      <c r="G747" s="177"/>
      <c r="H747" s="178"/>
      <c r="I747" s="179"/>
      <c r="J747" s="180"/>
      <c r="K747" s="181"/>
    </row>
    <row r="748" ht="22.5" customHeight="1">
      <c r="A748" s="173"/>
      <c r="B748" s="174"/>
      <c r="C748" s="175"/>
      <c r="D748" s="175"/>
      <c r="E748" s="176"/>
      <c r="F748" s="176"/>
      <c r="G748" s="177"/>
      <c r="H748" s="178"/>
      <c r="I748" s="179"/>
      <c r="J748" s="180"/>
      <c r="K748" s="181"/>
    </row>
    <row r="749" ht="22.5" customHeight="1">
      <c r="A749" s="173"/>
      <c r="B749" s="174"/>
      <c r="C749" s="175"/>
      <c r="D749" s="175"/>
      <c r="E749" s="176"/>
      <c r="F749" s="176"/>
      <c r="G749" s="177"/>
      <c r="H749" s="178"/>
      <c r="I749" s="179"/>
      <c r="J749" s="180"/>
      <c r="K749" s="181"/>
    </row>
    <row r="750" ht="22.5" customHeight="1">
      <c r="A750" s="173"/>
      <c r="B750" s="174"/>
      <c r="C750" s="175"/>
      <c r="D750" s="175"/>
      <c r="E750" s="176"/>
      <c r="F750" s="176"/>
      <c r="G750" s="177"/>
      <c r="H750" s="178"/>
      <c r="I750" s="179"/>
      <c r="J750" s="180"/>
      <c r="K750" s="181"/>
    </row>
    <row r="751" ht="22.5" customHeight="1">
      <c r="A751" s="173"/>
      <c r="B751" s="174"/>
      <c r="C751" s="175"/>
      <c r="D751" s="175"/>
      <c r="E751" s="176"/>
      <c r="F751" s="176"/>
      <c r="G751" s="177"/>
      <c r="H751" s="178"/>
      <c r="I751" s="179"/>
      <c r="J751" s="180"/>
      <c r="K751" s="181"/>
    </row>
    <row r="752" ht="22.5" customHeight="1">
      <c r="A752" s="173"/>
      <c r="B752" s="174"/>
      <c r="C752" s="175"/>
      <c r="D752" s="175"/>
      <c r="E752" s="176"/>
      <c r="F752" s="176"/>
      <c r="G752" s="177"/>
      <c r="H752" s="178"/>
      <c r="I752" s="179"/>
      <c r="J752" s="180"/>
      <c r="K752" s="181"/>
    </row>
    <row r="753" ht="22.5" customHeight="1">
      <c r="A753" s="173"/>
      <c r="B753" s="174"/>
      <c r="C753" s="175"/>
      <c r="D753" s="175"/>
      <c r="E753" s="176"/>
      <c r="F753" s="176"/>
      <c r="G753" s="177"/>
      <c r="H753" s="178"/>
      <c r="I753" s="179"/>
      <c r="J753" s="180"/>
      <c r="K753" s="181"/>
    </row>
    <row r="754" ht="22.5" customHeight="1">
      <c r="A754" s="173"/>
      <c r="B754" s="174"/>
      <c r="C754" s="175"/>
      <c r="D754" s="175"/>
      <c r="E754" s="176"/>
      <c r="F754" s="176"/>
      <c r="G754" s="177"/>
      <c r="H754" s="178"/>
      <c r="I754" s="179"/>
      <c r="J754" s="180"/>
      <c r="K754" s="181"/>
    </row>
    <row r="755" ht="22.5" customHeight="1">
      <c r="A755" s="173"/>
      <c r="B755" s="174"/>
      <c r="C755" s="175"/>
      <c r="D755" s="175"/>
      <c r="E755" s="176"/>
      <c r="F755" s="176"/>
      <c r="G755" s="177"/>
      <c r="H755" s="178"/>
      <c r="I755" s="179"/>
      <c r="J755" s="180"/>
      <c r="K755" s="181"/>
    </row>
    <row r="756" ht="22.5" customHeight="1">
      <c r="A756" s="173"/>
      <c r="B756" s="174"/>
      <c r="C756" s="175"/>
      <c r="D756" s="175"/>
      <c r="E756" s="176"/>
      <c r="F756" s="176"/>
      <c r="G756" s="177"/>
      <c r="H756" s="178"/>
      <c r="I756" s="179"/>
      <c r="J756" s="180"/>
      <c r="K756" s="181"/>
    </row>
    <row r="757" ht="22.5" customHeight="1">
      <c r="A757" s="173"/>
      <c r="B757" s="174"/>
      <c r="C757" s="175"/>
      <c r="D757" s="175"/>
      <c r="E757" s="176"/>
      <c r="F757" s="176"/>
      <c r="G757" s="177"/>
      <c r="H757" s="178"/>
      <c r="I757" s="179"/>
      <c r="J757" s="180"/>
      <c r="K757" s="181"/>
    </row>
    <row r="758" ht="22.5" customHeight="1">
      <c r="A758" s="173"/>
      <c r="B758" s="174"/>
      <c r="C758" s="175"/>
      <c r="D758" s="175"/>
      <c r="E758" s="176"/>
      <c r="F758" s="176"/>
      <c r="G758" s="177"/>
      <c r="H758" s="178"/>
      <c r="I758" s="179"/>
      <c r="J758" s="180"/>
      <c r="K758" s="181"/>
    </row>
    <row r="759" ht="22.5" customHeight="1">
      <c r="A759" s="173"/>
      <c r="B759" s="174"/>
      <c r="C759" s="175"/>
      <c r="D759" s="175"/>
      <c r="E759" s="176"/>
      <c r="F759" s="176"/>
      <c r="G759" s="177"/>
      <c r="H759" s="178"/>
      <c r="I759" s="179"/>
      <c r="J759" s="180"/>
      <c r="K759" s="181"/>
    </row>
    <row r="760" ht="22.5" customHeight="1">
      <c r="A760" s="173"/>
      <c r="B760" s="174"/>
      <c r="C760" s="175"/>
      <c r="D760" s="175"/>
      <c r="E760" s="176"/>
      <c r="F760" s="176"/>
      <c r="G760" s="177"/>
      <c r="H760" s="178"/>
      <c r="I760" s="179"/>
      <c r="J760" s="180"/>
      <c r="K760" s="181"/>
    </row>
    <row r="761" ht="22.5" customHeight="1">
      <c r="A761" s="173"/>
      <c r="B761" s="174"/>
      <c r="C761" s="175"/>
      <c r="D761" s="175"/>
      <c r="E761" s="176"/>
      <c r="F761" s="176"/>
      <c r="G761" s="177"/>
      <c r="H761" s="178"/>
      <c r="I761" s="179"/>
      <c r="J761" s="180"/>
      <c r="K761" s="181"/>
    </row>
    <row r="762" ht="22.5" customHeight="1">
      <c r="A762" s="173"/>
      <c r="B762" s="174"/>
      <c r="C762" s="175"/>
      <c r="D762" s="175"/>
      <c r="E762" s="176"/>
      <c r="F762" s="176"/>
      <c r="G762" s="177"/>
      <c r="H762" s="178"/>
      <c r="I762" s="179"/>
      <c r="J762" s="180"/>
      <c r="K762" s="181"/>
    </row>
    <row r="763" ht="22.5" customHeight="1">
      <c r="A763" s="173"/>
      <c r="B763" s="174"/>
      <c r="C763" s="175"/>
      <c r="D763" s="175"/>
      <c r="E763" s="176"/>
      <c r="F763" s="176"/>
      <c r="G763" s="177"/>
      <c r="H763" s="178"/>
      <c r="I763" s="179"/>
      <c r="J763" s="180"/>
      <c r="K763" s="181"/>
    </row>
    <row r="764" ht="22.5" customHeight="1">
      <c r="A764" s="173"/>
      <c r="B764" s="174"/>
      <c r="C764" s="175"/>
      <c r="D764" s="175"/>
      <c r="E764" s="176"/>
      <c r="F764" s="176"/>
      <c r="G764" s="177"/>
      <c r="H764" s="178"/>
      <c r="I764" s="179"/>
      <c r="J764" s="180"/>
      <c r="K764" s="181"/>
    </row>
    <row r="765" ht="22.5" customHeight="1">
      <c r="A765" s="173"/>
      <c r="B765" s="174"/>
      <c r="C765" s="175"/>
      <c r="D765" s="175"/>
      <c r="E765" s="176"/>
      <c r="F765" s="176"/>
      <c r="G765" s="177"/>
      <c r="H765" s="178"/>
      <c r="I765" s="179"/>
      <c r="J765" s="180"/>
      <c r="K765" s="181"/>
    </row>
    <row r="766" ht="22.5" customHeight="1">
      <c r="A766" s="173"/>
      <c r="B766" s="174"/>
      <c r="C766" s="175"/>
      <c r="D766" s="175"/>
      <c r="E766" s="176"/>
      <c r="F766" s="176"/>
      <c r="G766" s="177"/>
      <c r="H766" s="178"/>
      <c r="I766" s="179"/>
      <c r="J766" s="180"/>
      <c r="K766" s="181"/>
    </row>
    <row r="767" ht="22.5" customHeight="1">
      <c r="A767" s="173"/>
      <c r="B767" s="174"/>
      <c r="C767" s="175"/>
      <c r="D767" s="175"/>
      <c r="E767" s="176"/>
      <c r="F767" s="176"/>
      <c r="G767" s="177"/>
      <c r="H767" s="178"/>
      <c r="I767" s="179"/>
      <c r="J767" s="180"/>
      <c r="K767" s="181"/>
    </row>
    <row r="768" ht="22.5" customHeight="1">
      <c r="A768" s="173"/>
      <c r="B768" s="174"/>
      <c r="C768" s="175"/>
      <c r="D768" s="175"/>
      <c r="E768" s="176"/>
      <c r="F768" s="176"/>
      <c r="G768" s="177"/>
      <c r="H768" s="178"/>
      <c r="I768" s="179"/>
      <c r="J768" s="180"/>
      <c r="K768" s="181"/>
    </row>
    <row r="769" ht="22.5" customHeight="1">
      <c r="A769" s="173"/>
      <c r="B769" s="174"/>
      <c r="C769" s="175"/>
      <c r="D769" s="175"/>
      <c r="E769" s="176"/>
      <c r="F769" s="176"/>
      <c r="G769" s="177"/>
      <c r="H769" s="178"/>
      <c r="I769" s="179"/>
      <c r="J769" s="180"/>
      <c r="K769" s="181"/>
    </row>
    <row r="770" ht="22.5" customHeight="1">
      <c r="A770" s="173"/>
      <c r="B770" s="174"/>
      <c r="C770" s="175"/>
      <c r="D770" s="175"/>
      <c r="E770" s="176"/>
      <c r="F770" s="176"/>
      <c r="G770" s="177"/>
      <c r="H770" s="178"/>
      <c r="I770" s="179"/>
      <c r="J770" s="180"/>
      <c r="K770" s="181"/>
    </row>
    <row r="771" ht="22.5" customHeight="1">
      <c r="A771" s="173"/>
      <c r="B771" s="174"/>
      <c r="C771" s="175"/>
      <c r="D771" s="175"/>
      <c r="E771" s="176"/>
      <c r="F771" s="176"/>
      <c r="G771" s="177"/>
      <c r="H771" s="178"/>
      <c r="I771" s="179"/>
      <c r="J771" s="180"/>
      <c r="K771" s="181"/>
    </row>
    <row r="772" ht="22.5" customHeight="1">
      <c r="A772" s="173"/>
      <c r="B772" s="174"/>
      <c r="C772" s="175"/>
      <c r="D772" s="175"/>
      <c r="E772" s="176"/>
      <c r="F772" s="176"/>
      <c r="G772" s="177"/>
      <c r="H772" s="178"/>
      <c r="I772" s="179"/>
      <c r="J772" s="180"/>
      <c r="K772" s="181"/>
    </row>
    <row r="773" ht="22.5" customHeight="1">
      <c r="A773" s="173"/>
      <c r="B773" s="174"/>
      <c r="C773" s="175"/>
      <c r="D773" s="175"/>
      <c r="E773" s="176"/>
      <c r="F773" s="176"/>
      <c r="G773" s="177"/>
      <c r="H773" s="178"/>
      <c r="I773" s="179"/>
      <c r="J773" s="180"/>
      <c r="K773" s="181"/>
    </row>
    <row r="774" ht="22.5" customHeight="1">
      <c r="A774" s="173"/>
      <c r="B774" s="174"/>
      <c r="C774" s="175"/>
      <c r="D774" s="175"/>
      <c r="E774" s="176"/>
      <c r="F774" s="176"/>
      <c r="G774" s="177"/>
      <c r="H774" s="178"/>
      <c r="I774" s="179"/>
      <c r="J774" s="180"/>
      <c r="K774" s="181"/>
    </row>
    <row r="775" ht="22.5" customHeight="1">
      <c r="A775" s="173"/>
      <c r="B775" s="174"/>
      <c r="C775" s="175"/>
      <c r="D775" s="175"/>
      <c r="E775" s="176"/>
      <c r="F775" s="176"/>
      <c r="G775" s="177"/>
      <c r="H775" s="178"/>
      <c r="I775" s="179"/>
      <c r="J775" s="180"/>
      <c r="K775" s="181"/>
    </row>
    <row r="776" ht="22.5" customHeight="1">
      <c r="A776" s="173"/>
      <c r="B776" s="174"/>
      <c r="C776" s="175"/>
      <c r="D776" s="175"/>
      <c r="E776" s="176"/>
      <c r="F776" s="176"/>
      <c r="G776" s="177"/>
      <c r="H776" s="178"/>
      <c r="I776" s="179"/>
      <c r="J776" s="180"/>
      <c r="K776" s="181"/>
    </row>
    <row r="777" ht="22.5" customHeight="1">
      <c r="A777" s="173"/>
      <c r="B777" s="174"/>
      <c r="C777" s="175"/>
      <c r="D777" s="175"/>
      <c r="E777" s="176"/>
      <c r="F777" s="176"/>
      <c r="G777" s="177"/>
      <c r="H777" s="178"/>
      <c r="I777" s="179"/>
      <c r="J777" s="180"/>
      <c r="K777" s="181"/>
    </row>
    <row r="778" ht="22.5" customHeight="1">
      <c r="A778" s="173"/>
      <c r="B778" s="174"/>
      <c r="C778" s="175"/>
      <c r="D778" s="175"/>
      <c r="E778" s="176"/>
      <c r="F778" s="176"/>
      <c r="G778" s="177"/>
      <c r="H778" s="178"/>
      <c r="I778" s="179"/>
      <c r="J778" s="180"/>
      <c r="K778" s="181"/>
    </row>
    <row r="779" ht="22.5" customHeight="1">
      <c r="A779" s="173"/>
      <c r="B779" s="174"/>
      <c r="C779" s="175"/>
      <c r="D779" s="175"/>
      <c r="E779" s="176"/>
      <c r="F779" s="176"/>
      <c r="G779" s="177"/>
      <c r="H779" s="178"/>
      <c r="I779" s="179"/>
      <c r="J779" s="180"/>
      <c r="K779" s="181"/>
    </row>
    <row r="780" ht="22.5" customHeight="1">
      <c r="A780" s="173"/>
      <c r="B780" s="174"/>
      <c r="C780" s="175"/>
      <c r="D780" s="175"/>
      <c r="E780" s="176"/>
      <c r="F780" s="176"/>
      <c r="G780" s="177"/>
      <c r="H780" s="178"/>
      <c r="I780" s="179"/>
      <c r="J780" s="180"/>
      <c r="K780" s="181"/>
    </row>
    <row r="781" ht="22.5" customHeight="1">
      <c r="A781" s="173"/>
      <c r="B781" s="174"/>
      <c r="C781" s="175"/>
      <c r="D781" s="175"/>
      <c r="E781" s="176"/>
      <c r="F781" s="176"/>
      <c r="G781" s="177"/>
      <c r="H781" s="178"/>
      <c r="I781" s="179"/>
      <c r="J781" s="180"/>
      <c r="K781" s="181"/>
    </row>
    <row r="782" ht="22.5" customHeight="1">
      <c r="A782" s="173"/>
      <c r="B782" s="174"/>
      <c r="C782" s="175"/>
      <c r="D782" s="175"/>
      <c r="E782" s="176"/>
      <c r="F782" s="176"/>
      <c r="G782" s="177"/>
      <c r="H782" s="178"/>
      <c r="I782" s="179"/>
      <c r="J782" s="180"/>
      <c r="K782" s="181"/>
    </row>
    <row r="783" ht="22.5" customHeight="1">
      <c r="A783" s="173"/>
      <c r="B783" s="174"/>
      <c r="C783" s="175"/>
      <c r="D783" s="175"/>
      <c r="E783" s="176"/>
      <c r="F783" s="176"/>
      <c r="G783" s="177"/>
      <c r="H783" s="178"/>
      <c r="I783" s="179"/>
      <c r="J783" s="180"/>
      <c r="K783" s="181"/>
    </row>
    <row r="784" ht="22.5" customHeight="1">
      <c r="A784" s="173"/>
      <c r="B784" s="174"/>
      <c r="C784" s="175"/>
      <c r="D784" s="175"/>
      <c r="E784" s="176"/>
      <c r="F784" s="176"/>
      <c r="G784" s="177"/>
      <c r="H784" s="178"/>
      <c r="I784" s="179"/>
      <c r="J784" s="180"/>
      <c r="K784" s="181"/>
    </row>
    <row r="785" ht="22.5" customHeight="1">
      <c r="A785" s="173"/>
      <c r="B785" s="174"/>
      <c r="C785" s="175"/>
      <c r="D785" s="175"/>
      <c r="E785" s="176"/>
      <c r="F785" s="176"/>
      <c r="G785" s="177"/>
      <c r="H785" s="178"/>
      <c r="I785" s="179"/>
      <c r="J785" s="180"/>
      <c r="K785" s="181"/>
    </row>
    <row r="786" ht="22.5" customHeight="1">
      <c r="A786" s="173"/>
      <c r="B786" s="174"/>
      <c r="C786" s="175"/>
      <c r="D786" s="175"/>
      <c r="E786" s="176"/>
      <c r="F786" s="176"/>
      <c r="G786" s="177"/>
      <c r="H786" s="178"/>
      <c r="I786" s="179"/>
      <c r="J786" s="180"/>
      <c r="K786" s="181"/>
    </row>
    <row r="787" ht="22.5" customHeight="1">
      <c r="A787" s="173"/>
      <c r="B787" s="174"/>
      <c r="C787" s="175"/>
      <c r="D787" s="175"/>
      <c r="E787" s="176"/>
      <c r="F787" s="176"/>
      <c r="G787" s="177"/>
      <c r="H787" s="178"/>
      <c r="I787" s="179"/>
      <c r="J787" s="180"/>
      <c r="K787" s="181"/>
    </row>
    <row r="788" ht="22.5" customHeight="1">
      <c r="A788" s="173"/>
      <c r="B788" s="174"/>
      <c r="C788" s="175"/>
      <c r="D788" s="175"/>
      <c r="E788" s="176"/>
      <c r="F788" s="176"/>
      <c r="G788" s="177"/>
      <c r="H788" s="178"/>
      <c r="I788" s="179"/>
      <c r="J788" s="180"/>
      <c r="K788" s="181"/>
    </row>
    <row r="789" ht="22.5" customHeight="1">
      <c r="A789" s="173"/>
      <c r="B789" s="174"/>
      <c r="C789" s="175"/>
      <c r="D789" s="175"/>
      <c r="E789" s="176"/>
      <c r="F789" s="176"/>
      <c r="G789" s="177"/>
      <c r="H789" s="178"/>
      <c r="I789" s="179"/>
      <c r="J789" s="180"/>
      <c r="K789" s="181"/>
    </row>
    <row r="790" ht="22.5" customHeight="1">
      <c r="A790" s="173"/>
      <c r="B790" s="174"/>
      <c r="C790" s="175"/>
      <c r="D790" s="175"/>
      <c r="E790" s="176"/>
      <c r="F790" s="176"/>
      <c r="G790" s="177"/>
      <c r="H790" s="178"/>
      <c r="I790" s="179"/>
      <c r="J790" s="180"/>
      <c r="K790" s="181"/>
    </row>
    <row r="791" ht="22.5" customHeight="1">
      <c r="A791" s="173"/>
      <c r="B791" s="174"/>
      <c r="C791" s="175"/>
      <c r="D791" s="175"/>
      <c r="E791" s="176"/>
      <c r="F791" s="176"/>
      <c r="G791" s="177"/>
      <c r="H791" s="178"/>
      <c r="I791" s="179"/>
      <c r="J791" s="180"/>
      <c r="K791" s="181"/>
    </row>
    <row r="792" ht="22.5" customHeight="1">
      <c r="A792" s="173"/>
      <c r="B792" s="174"/>
      <c r="C792" s="175"/>
      <c r="D792" s="175"/>
      <c r="E792" s="176"/>
      <c r="F792" s="176"/>
      <c r="G792" s="177"/>
      <c r="H792" s="178"/>
      <c r="I792" s="179"/>
      <c r="J792" s="180"/>
      <c r="K792" s="181"/>
    </row>
    <row r="793" ht="22.5" customHeight="1">
      <c r="A793" s="173"/>
      <c r="B793" s="174"/>
      <c r="C793" s="175"/>
      <c r="D793" s="175"/>
      <c r="E793" s="176"/>
      <c r="F793" s="176"/>
      <c r="G793" s="177"/>
      <c r="H793" s="178"/>
      <c r="I793" s="179"/>
      <c r="J793" s="180"/>
      <c r="K793" s="181"/>
    </row>
    <row r="794" ht="22.5" customHeight="1">
      <c r="A794" s="173"/>
      <c r="B794" s="174"/>
      <c r="C794" s="175"/>
      <c r="D794" s="175"/>
      <c r="E794" s="176"/>
      <c r="F794" s="176"/>
      <c r="G794" s="177"/>
      <c r="H794" s="178"/>
      <c r="I794" s="179"/>
      <c r="J794" s="180"/>
      <c r="K794" s="181"/>
    </row>
    <row r="795" ht="22.5" customHeight="1">
      <c r="A795" s="173"/>
      <c r="B795" s="174"/>
      <c r="C795" s="175"/>
      <c r="D795" s="175"/>
      <c r="E795" s="176"/>
      <c r="F795" s="176"/>
      <c r="G795" s="177"/>
      <c r="H795" s="178"/>
      <c r="I795" s="179"/>
      <c r="J795" s="180"/>
      <c r="K795" s="181"/>
    </row>
    <row r="796" ht="22.5" customHeight="1">
      <c r="A796" s="173"/>
      <c r="B796" s="174"/>
      <c r="C796" s="175"/>
      <c r="D796" s="175"/>
      <c r="E796" s="176"/>
      <c r="F796" s="176"/>
      <c r="G796" s="177"/>
      <c r="H796" s="178"/>
      <c r="I796" s="179"/>
      <c r="J796" s="180"/>
      <c r="K796" s="181"/>
    </row>
    <row r="797" ht="22.5" customHeight="1">
      <c r="A797" s="173"/>
      <c r="B797" s="174"/>
      <c r="C797" s="175"/>
      <c r="D797" s="175"/>
      <c r="E797" s="176"/>
      <c r="F797" s="176"/>
      <c r="G797" s="177"/>
      <c r="H797" s="178"/>
      <c r="I797" s="179"/>
      <c r="J797" s="180"/>
      <c r="K797" s="181"/>
    </row>
    <row r="798" ht="22.5" customHeight="1">
      <c r="A798" s="173"/>
      <c r="B798" s="174"/>
      <c r="C798" s="175"/>
      <c r="D798" s="175"/>
      <c r="E798" s="176"/>
      <c r="F798" s="176"/>
      <c r="G798" s="177"/>
      <c r="H798" s="178"/>
      <c r="I798" s="179"/>
      <c r="J798" s="180"/>
      <c r="K798" s="181"/>
    </row>
    <row r="799" ht="22.5" customHeight="1">
      <c r="A799" s="173"/>
      <c r="B799" s="174"/>
      <c r="C799" s="175"/>
      <c r="D799" s="175"/>
      <c r="E799" s="176"/>
      <c r="F799" s="176"/>
      <c r="G799" s="177"/>
      <c r="H799" s="178"/>
      <c r="I799" s="179"/>
      <c r="J799" s="180"/>
      <c r="K799" s="181"/>
    </row>
    <row r="800" ht="22.5" customHeight="1">
      <c r="A800" s="173"/>
      <c r="B800" s="174"/>
      <c r="C800" s="175"/>
      <c r="D800" s="175"/>
      <c r="E800" s="176"/>
      <c r="F800" s="176"/>
      <c r="G800" s="177"/>
      <c r="H800" s="178"/>
      <c r="I800" s="179"/>
      <c r="J800" s="180"/>
      <c r="K800" s="181"/>
    </row>
    <row r="801" ht="22.5" customHeight="1">
      <c r="A801" s="173"/>
      <c r="B801" s="174"/>
      <c r="C801" s="175"/>
      <c r="D801" s="175"/>
      <c r="E801" s="176"/>
      <c r="F801" s="176"/>
      <c r="G801" s="177"/>
      <c r="H801" s="178"/>
      <c r="I801" s="179"/>
      <c r="J801" s="180"/>
      <c r="K801" s="181"/>
    </row>
    <row r="802" ht="22.5" customHeight="1">
      <c r="A802" s="173"/>
      <c r="B802" s="174"/>
      <c r="C802" s="175"/>
      <c r="D802" s="175"/>
      <c r="E802" s="176"/>
      <c r="F802" s="176"/>
      <c r="G802" s="177"/>
      <c r="H802" s="178"/>
      <c r="I802" s="179"/>
      <c r="J802" s="180"/>
      <c r="K802" s="181"/>
    </row>
    <row r="803" ht="22.5" customHeight="1">
      <c r="A803" s="173"/>
      <c r="B803" s="174"/>
      <c r="C803" s="175"/>
      <c r="D803" s="175"/>
      <c r="E803" s="176"/>
      <c r="F803" s="176"/>
      <c r="G803" s="177"/>
      <c r="H803" s="178"/>
      <c r="I803" s="179"/>
      <c r="J803" s="180"/>
      <c r="K803" s="181"/>
    </row>
    <row r="804" ht="22.5" customHeight="1">
      <c r="A804" s="173"/>
      <c r="B804" s="174"/>
      <c r="C804" s="175"/>
      <c r="D804" s="175"/>
      <c r="E804" s="176"/>
      <c r="F804" s="176"/>
      <c r="G804" s="177"/>
      <c r="H804" s="178"/>
      <c r="I804" s="179"/>
      <c r="J804" s="180"/>
      <c r="K804" s="181"/>
    </row>
    <row r="805" ht="22.5" customHeight="1">
      <c r="A805" s="173"/>
      <c r="B805" s="174"/>
      <c r="C805" s="175"/>
      <c r="D805" s="175"/>
      <c r="E805" s="176"/>
      <c r="F805" s="176"/>
      <c r="G805" s="177"/>
      <c r="H805" s="178"/>
      <c r="I805" s="179"/>
      <c r="J805" s="180"/>
      <c r="K805" s="181"/>
    </row>
    <row r="806" ht="22.5" customHeight="1">
      <c r="A806" s="173"/>
      <c r="B806" s="174"/>
      <c r="C806" s="175"/>
      <c r="D806" s="175"/>
      <c r="E806" s="176"/>
      <c r="F806" s="176"/>
      <c r="G806" s="177"/>
      <c r="H806" s="178"/>
      <c r="I806" s="179"/>
      <c r="J806" s="180"/>
      <c r="K806" s="181"/>
    </row>
    <row r="807" ht="22.5" customHeight="1">
      <c r="A807" s="173"/>
      <c r="B807" s="174"/>
      <c r="C807" s="175"/>
      <c r="D807" s="175"/>
      <c r="E807" s="176"/>
      <c r="F807" s="176"/>
      <c r="G807" s="177"/>
      <c r="H807" s="178"/>
      <c r="I807" s="179"/>
      <c r="J807" s="180"/>
      <c r="K807" s="181"/>
    </row>
    <row r="808" ht="22.5" customHeight="1">
      <c r="A808" s="173"/>
      <c r="B808" s="174"/>
      <c r="C808" s="175"/>
      <c r="D808" s="175"/>
      <c r="E808" s="176"/>
      <c r="F808" s="176"/>
      <c r="G808" s="177"/>
      <c r="H808" s="178"/>
      <c r="I808" s="179"/>
      <c r="J808" s="180"/>
      <c r="K808" s="181"/>
    </row>
    <row r="809" ht="22.5" customHeight="1">
      <c r="A809" s="173"/>
      <c r="B809" s="174"/>
      <c r="C809" s="175"/>
      <c r="D809" s="175"/>
      <c r="E809" s="176"/>
      <c r="F809" s="176"/>
      <c r="G809" s="177"/>
      <c r="H809" s="178"/>
      <c r="I809" s="179"/>
      <c r="J809" s="180"/>
      <c r="K809" s="181"/>
    </row>
    <row r="810" ht="22.5" customHeight="1">
      <c r="A810" s="173"/>
      <c r="B810" s="174"/>
      <c r="C810" s="175"/>
      <c r="D810" s="175"/>
      <c r="E810" s="176"/>
      <c r="F810" s="176"/>
      <c r="G810" s="177"/>
      <c r="H810" s="178"/>
      <c r="I810" s="179"/>
      <c r="J810" s="180"/>
      <c r="K810" s="181"/>
    </row>
    <row r="811" ht="22.5" customHeight="1">
      <c r="A811" s="173"/>
      <c r="B811" s="174"/>
      <c r="C811" s="175"/>
      <c r="D811" s="175"/>
      <c r="E811" s="176"/>
      <c r="F811" s="176"/>
      <c r="G811" s="177"/>
      <c r="H811" s="178"/>
      <c r="I811" s="179"/>
      <c r="J811" s="180"/>
      <c r="K811" s="181"/>
    </row>
    <row r="812" ht="22.5" customHeight="1">
      <c r="A812" s="173"/>
      <c r="B812" s="174"/>
      <c r="C812" s="175"/>
      <c r="D812" s="175"/>
      <c r="E812" s="176"/>
      <c r="F812" s="176"/>
      <c r="G812" s="177"/>
      <c r="H812" s="178"/>
      <c r="I812" s="179"/>
      <c r="J812" s="180"/>
      <c r="K812" s="181"/>
    </row>
    <row r="813" ht="22.5" customHeight="1">
      <c r="A813" s="173"/>
      <c r="B813" s="174"/>
      <c r="C813" s="175"/>
      <c r="D813" s="175"/>
      <c r="E813" s="176"/>
      <c r="F813" s="176"/>
      <c r="G813" s="177"/>
      <c r="H813" s="178"/>
      <c r="I813" s="179"/>
      <c r="J813" s="180"/>
      <c r="K813" s="181"/>
    </row>
    <row r="814" ht="22.5" customHeight="1">
      <c r="A814" s="173"/>
      <c r="B814" s="174"/>
      <c r="C814" s="175"/>
      <c r="D814" s="175"/>
      <c r="E814" s="176"/>
      <c r="F814" s="176"/>
      <c r="G814" s="177"/>
      <c r="H814" s="178"/>
      <c r="I814" s="179"/>
      <c r="J814" s="180"/>
      <c r="K814" s="181"/>
    </row>
    <row r="815" ht="22.5" customHeight="1">
      <c r="A815" s="173"/>
      <c r="B815" s="174"/>
      <c r="C815" s="175"/>
      <c r="D815" s="175"/>
      <c r="E815" s="176"/>
      <c r="F815" s="176"/>
      <c r="G815" s="177"/>
      <c r="H815" s="178"/>
      <c r="I815" s="179"/>
      <c r="J815" s="180"/>
      <c r="K815" s="181"/>
    </row>
    <row r="816" ht="22.5" customHeight="1">
      <c r="A816" s="173"/>
      <c r="B816" s="174"/>
      <c r="C816" s="175"/>
      <c r="D816" s="175"/>
      <c r="E816" s="176"/>
      <c r="F816" s="176"/>
      <c r="G816" s="177"/>
      <c r="H816" s="178"/>
      <c r="I816" s="179"/>
      <c r="J816" s="180"/>
      <c r="K816" s="181"/>
    </row>
    <row r="817" ht="22.5" customHeight="1">
      <c r="A817" s="173"/>
      <c r="B817" s="174"/>
      <c r="C817" s="175"/>
      <c r="D817" s="175"/>
      <c r="E817" s="176"/>
      <c r="F817" s="176"/>
      <c r="G817" s="177"/>
      <c r="H817" s="178"/>
      <c r="I817" s="179"/>
      <c r="J817" s="180"/>
      <c r="K817" s="181"/>
    </row>
    <row r="818" ht="22.5" customHeight="1">
      <c r="A818" s="173"/>
      <c r="B818" s="174"/>
      <c r="C818" s="175"/>
      <c r="D818" s="175"/>
      <c r="E818" s="176"/>
      <c r="F818" s="176"/>
      <c r="G818" s="177"/>
      <c r="H818" s="178"/>
      <c r="I818" s="179"/>
      <c r="J818" s="180"/>
      <c r="K818" s="181"/>
    </row>
    <row r="819" ht="22.5" customHeight="1">
      <c r="A819" s="173"/>
      <c r="B819" s="174"/>
      <c r="C819" s="175"/>
      <c r="D819" s="175"/>
      <c r="E819" s="176"/>
      <c r="F819" s="176"/>
      <c r="G819" s="177"/>
      <c r="H819" s="178"/>
      <c r="I819" s="179"/>
      <c r="J819" s="180"/>
      <c r="K819" s="181"/>
    </row>
    <row r="820" ht="22.5" customHeight="1">
      <c r="A820" s="173"/>
      <c r="B820" s="174"/>
      <c r="C820" s="175"/>
      <c r="D820" s="175"/>
      <c r="E820" s="176"/>
      <c r="F820" s="176"/>
      <c r="G820" s="177"/>
      <c r="H820" s="178"/>
      <c r="I820" s="179"/>
      <c r="J820" s="180"/>
      <c r="K820" s="181"/>
    </row>
    <row r="821" ht="22.5" customHeight="1">
      <c r="A821" s="173"/>
      <c r="B821" s="174"/>
      <c r="C821" s="175"/>
      <c r="D821" s="175"/>
      <c r="E821" s="176"/>
      <c r="F821" s="176"/>
      <c r="G821" s="177"/>
      <c r="H821" s="178"/>
      <c r="I821" s="179"/>
      <c r="J821" s="180"/>
      <c r="K821" s="181"/>
    </row>
    <row r="822" ht="22.5" customHeight="1">
      <c r="A822" s="173"/>
      <c r="B822" s="174"/>
      <c r="C822" s="175"/>
      <c r="D822" s="175"/>
      <c r="E822" s="176"/>
      <c r="F822" s="176"/>
      <c r="G822" s="177"/>
      <c r="H822" s="178"/>
      <c r="I822" s="179"/>
      <c r="J822" s="180"/>
      <c r="K822" s="181"/>
    </row>
    <row r="823" ht="22.5" customHeight="1">
      <c r="A823" s="173"/>
      <c r="B823" s="174"/>
      <c r="C823" s="175"/>
      <c r="D823" s="175"/>
      <c r="E823" s="176"/>
      <c r="F823" s="176"/>
      <c r="G823" s="177"/>
      <c r="H823" s="178"/>
      <c r="I823" s="179"/>
      <c r="J823" s="180"/>
      <c r="K823" s="181"/>
    </row>
    <row r="824" ht="22.5" customHeight="1">
      <c r="A824" s="173"/>
      <c r="B824" s="174"/>
      <c r="C824" s="175"/>
      <c r="D824" s="175"/>
      <c r="E824" s="176"/>
      <c r="F824" s="176"/>
      <c r="G824" s="177"/>
      <c r="H824" s="178"/>
      <c r="I824" s="179"/>
      <c r="J824" s="180"/>
      <c r="K824" s="181"/>
    </row>
    <row r="825" ht="22.5" customHeight="1">
      <c r="A825" s="173"/>
      <c r="B825" s="174"/>
      <c r="C825" s="175"/>
      <c r="D825" s="175"/>
      <c r="E825" s="176"/>
      <c r="F825" s="176"/>
      <c r="G825" s="177"/>
      <c r="H825" s="178"/>
      <c r="I825" s="179"/>
      <c r="J825" s="180"/>
      <c r="K825" s="181"/>
    </row>
    <row r="826" ht="22.5" customHeight="1">
      <c r="A826" s="173"/>
      <c r="B826" s="174"/>
      <c r="C826" s="175"/>
      <c r="D826" s="175"/>
      <c r="E826" s="176"/>
      <c r="F826" s="176"/>
      <c r="G826" s="177"/>
      <c r="H826" s="178"/>
      <c r="I826" s="179"/>
      <c r="J826" s="180"/>
      <c r="K826" s="181"/>
    </row>
    <row r="827" ht="22.5" customHeight="1">
      <c r="A827" s="173"/>
      <c r="B827" s="174"/>
      <c r="C827" s="175"/>
      <c r="D827" s="175"/>
      <c r="E827" s="176"/>
      <c r="F827" s="176"/>
      <c r="G827" s="177"/>
      <c r="H827" s="178"/>
      <c r="I827" s="179"/>
      <c r="J827" s="180"/>
      <c r="K827" s="181"/>
    </row>
    <row r="828" ht="22.5" customHeight="1">
      <c r="A828" s="173"/>
      <c r="B828" s="174"/>
      <c r="C828" s="175"/>
      <c r="D828" s="175"/>
      <c r="E828" s="176"/>
      <c r="F828" s="176"/>
      <c r="G828" s="177"/>
      <c r="H828" s="178"/>
      <c r="I828" s="179"/>
      <c r="J828" s="180"/>
      <c r="K828" s="181"/>
    </row>
    <row r="829" ht="22.5" customHeight="1">
      <c r="A829" s="173"/>
      <c r="B829" s="174"/>
      <c r="C829" s="175"/>
      <c r="D829" s="175"/>
      <c r="E829" s="176"/>
      <c r="F829" s="176"/>
      <c r="G829" s="177"/>
      <c r="H829" s="178"/>
      <c r="I829" s="179"/>
      <c r="J829" s="180"/>
      <c r="K829" s="181"/>
    </row>
    <row r="830" ht="22.5" customHeight="1">
      <c r="A830" s="173"/>
      <c r="B830" s="174"/>
      <c r="C830" s="175"/>
      <c r="D830" s="175"/>
      <c r="E830" s="176"/>
      <c r="F830" s="176"/>
      <c r="G830" s="177"/>
      <c r="H830" s="178"/>
      <c r="I830" s="179"/>
      <c r="J830" s="180"/>
      <c r="K830" s="181"/>
    </row>
    <row r="831" ht="22.5" customHeight="1">
      <c r="A831" s="173"/>
      <c r="B831" s="174"/>
      <c r="C831" s="175"/>
      <c r="D831" s="175"/>
      <c r="E831" s="176"/>
      <c r="F831" s="176"/>
      <c r="G831" s="177"/>
      <c r="H831" s="178"/>
      <c r="I831" s="179"/>
      <c r="J831" s="180"/>
      <c r="K831" s="181"/>
    </row>
    <row r="832" ht="22.5" customHeight="1">
      <c r="A832" s="173"/>
      <c r="B832" s="174"/>
      <c r="C832" s="175"/>
      <c r="D832" s="175"/>
      <c r="E832" s="176"/>
      <c r="F832" s="176"/>
      <c r="G832" s="177"/>
      <c r="H832" s="178"/>
      <c r="I832" s="179"/>
      <c r="J832" s="180"/>
      <c r="K832" s="181"/>
    </row>
    <row r="833" ht="22.5" customHeight="1">
      <c r="A833" s="173"/>
      <c r="B833" s="174"/>
      <c r="C833" s="175"/>
      <c r="D833" s="175"/>
      <c r="E833" s="176"/>
      <c r="F833" s="176"/>
      <c r="G833" s="177"/>
      <c r="H833" s="178"/>
      <c r="I833" s="179"/>
      <c r="J833" s="180"/>
      <c r="K833" s="181"/>
    </row>
    <row r="834" ht="22.5" customHeight="1">
      <c r="A834" s="173"/>
      <c r="B834" s="174"/>
      <c r="C834" s="175"/>
      <c r="D834" s="175"/>
      <c r="E834" s="176"/>
      <c r="F834" s="176"/>
      <c r="G834" s="177"/>
      <c r="H834" s="178"/>
      <c r="I834" s="179"/>
      <c r="J834" s="180"/>
      <c r="K834" s="181"/>
    </row>
    <row r="835" ht="22.5" customHeight="1">
      <c r="A835" s="173"/>
      <c r="B835" s="174"/>
      <c r="C835" s="175"/>
      <c r="D835" s="175"/>
      <c r="E835" s="176"/>
      <c r="F835" s="176"/>
      <c r="G835" s="177"/>
      <c r="H835" s="178"/>
      <c r="I835" s="179"/>
      <c r="J835" s="180"/>
      <c r="K835" s="181"/>
    </row>
    <row r="836" ht="22.5" customHeight="1">
      <c r="A836" s="173"/>
      <c r="B836" s="174"/>
      <c r="C836" s="175"/>
      <c r="D836" s="175"/>
      <c r="E836" s="176"/>
      <c r="F836" s="176"/>
      <c r="G836" s="177"/>
      <c r="H836" s="178"/>
      <c r="I836" s="179"/>
      <c r="J836" s="180"/>
      <c r="K836" s="181"/>
    </row>
    <row r="837" ht="22.5" customHeight="1">
      <c r="A837" s="173"/>
      <c r="B837" s="174"/>
      <c r="C837" s="175"/>
      <c r="D837" s="175"/>
      <c r="E837" s="176"/>
      <c r="F837" s="176"/>
      <c r="G837" s="177"/>
      <c r="H837" s="178"/>
      <c r="I837" s="179"/>
      <c r="J837" s="180"/>
      <c r="K837" s="181"/>
    </row>
    <row r="838" ht="22.5" customHeight="1">
      <c r="A838" s="173"/>
      <c r="B838" s="174"/>
      <c r="C838" s="175"/>
      <c r="D838" s="175"/>
      <c r="E838" s="176"/>
      <c r="F838" s="176"/>
      <c r="G838" s="177"/>
      <c r="H838" s="178"/>
      <c r="I838" s="179"/>
      <c r="J838" s="180"/>
      <c r="K838" s="181"/>
    </row>
    <row r="839" ht="22.5" customHeight="1">
      <c r="A839" s="173"/>
      <c r="B839" s="174"/>
      <c r="C839" s="175"/>
      <c r="D839" s="175"/>
      <c r="E839" s="176"/>
      <c r="F839" s="176"/>
      <c r="G839" s="177"/>
      <c r="H839" s="178"/>
      <c r="I839" s="179"/>
      <c r="J839" s="180"/>
      <c r="K839" s="181"/>
    </row>
    <row r="840" ht="22.5" customHeight="1">
      <c r="A840" s="173"/>
      <c r="B840" s="174"/>
      <c r="C840" s="175"/>
      <c r="D840" s="175"/>
      <c r="E840" s="176"/>
      <c r="F840" s="176"/>
      <c r="G840" s="177"/>
      <c r="H840" s="178"/>
      <c r="I840" s="179"/>
      <c r="J840" s="180"/>
      <c r="K840" s="181"/>
    </row>
    <row r="841" ht="22.5" customHeight="1">
      <c r="A841" s="173"/>
      <c r="B841" s="174"/>
      <c r="C841" s="175"/>
      <c r="D841" s="175"/>
      <c r="E841" s="176"/>
      <c r="F841" s="176"/>
      <c r="G841" s="177"/>
      <c r="H841" s="178"/>
      <c r="I841" s="179"/>
      <c r="J841" s="180"/>
      <c r="K841" s="181"/>
    </row>
    <row r="842" ht="22.5" customHeight="1">
      <c r="A842" s="173"/>
      <c r="B842" s="174"/>
      <c r="C842" s="175"/>
      <c r="D842" s="175"/>
      <c r="E842" s="176"/>
      <c r="F842" s="176"/>
      <c r="G842" s="177"/>
      <c r="H842" s="178"/>
      <c r="I842" s="179"/>
      <c r="J842" s="180"/>
      <c r="K842" s="181"/>
    </row>
    <row r="843" ht="22.5" customHeight="1">
      <c r="A843" s="173"/>
      <c r="B843" s="174"/>
      <c r="C843" s="175"/>
      <c r="D843" s="175"/>
      <c r="E843" s="176"/>
      <c r="F843" s="176"/>
      <c r="G843" s="177"/>
      <c r="H843" s="178"/>
      <c r="I843" s="179"/>
      <c r="J843" s="180"/>
      <c r="K843" s="181"/>
    </row>
    <row r="844" ht="22.5" customHeight="1">
      <c r="A844" s="173"/>
      <c r="B844" s="174"/>
      <c r="C844" s="175"/>
      <c r="D844" s="175"/>
      <c r="E844" s="176"/>
      <c r="F844" s="176"/>
      <c r="G844" s="177"/>
      <c r="H844" s="178"/>
      <c r="I844" s="179"/>
      <c r="J844" s="180"/>
      <c r="K844" s="181"/>
    </row>
    <row r="845" ht="22.5" customHeight="1">
      <c r="A845" s="173"/>
      <c r="B845" s="174"/>
      <c r="C845" s="175"/>
      <c r="D845" s="175"/>
      <c r="E845" s="176"/>
      <c r="F845" s="176"/>
      <c r="G845" s="177"/>
      <c r="H845" s="178"/>
      <c r="I845" s="179"/>
      <c r="J845" s="180"/>
      <c r="K845" s="181"/>
    </row>
    <row r="846" ht="22.5" customHeight="1">
      <c r="A846" s="173"/>
      <c r="B846" s="174"/>
      <c r="C846" s="175"/>
      <c r="D846" s="175"/>
      <c r="E846" s="176"/>
      <c r="F846" s="176"/>
      <c r="G846" s="177"/>
      <c r="H846" s="178"/>
      <c r="I846" s="179"/>
      <c r="J846" s="180"/>
      <c r="K846" s="181"/>
    </row>
    <row r="847" ht="22.5" customHeight="1">
      <c r="A847" s="173"/>
      <c r="B847" s="174"/>
      <c r="C847" s="175"/>
      <c r="D847" s="175"/>
      <c r="E847" s="176"/>
      <c r="F847" s="176"/>
      <c r="G847" s="177"/>
      <c r="H847" s="178"/>
      <c r="I847" s="179"/>
      <c r="J847" s="180"/>
      <c r="K847" s="181"/>
    </row>
    <row r="848" ht="22.5" customHeight="1">
      <c r="A848" s="173"/>
      <c r="B848" s="174"/>
      <c r="C848" s="175"/>
      <c r="D848" s="175"/>
      <c r="E848" s="176"/>
      <c r="F848" s="176"/>
      <c r="G848" s="177"/>
      <c r="H848" s="178"/>
      <c r="I848" s="179"/>
      <c r="J848" s="180"/>
      <c r="K848" s="181"/>
    </row>
    <row r="849" ht="22.5" customHeight="1">
      <c r="A849" s="173"/>
      <c r="B849" s="174"/>
      <c r="C849" s="175"/>
      <c r="D849" s="175"/>
      <c r="E849" s="176"/>
      <c r="F849" s="176"/>
      <c r="G849" s="177"/>
      <c r="H849" s="178"/>
      <c r="I849" s="179"/>
      <c r="J849" s="180"/>
      <c r="K849" s="181"/>
    </row>
    <row r="850" ht="22.5" customHeight="1">
      <c r="A850" s="173"/>
      <c r="B850" s="174"/>
      <c r="C850" s="175"/>
      <c r="D850" s="175"/>
      <c r="E850" s="176"/>
      <c r="F850" s="176"/>
      <c r="G850" s="177"/>
      <c r="H850" s="178"/>
      <c r="I850" s="179"/>
      <c r="J850" s="180"/>
      <c r="K850" s="181"/>
    </row>
    <row r="851" ht="22.5" customHeight="1">
      <c r="A851" s="173"/>
      <c r="B851" s="174"/>
      <c r="C851" s="175"/>
      <c r="D851" s="175"/>
      <c r="E851" s="176"/>
      <c r="F851" s="176"/>
      <c r="G851" s="177"/>
      <c r="H851" s="178"/>
      <c r="I851" s="179"/>
      <c r="J851" s="180"/>
      <c r="K851" s="181"/>
    </row>
    <row r="852" ht="22.5" customHeight="1">
      <c r="A852" s="173"/>
      <c r="B852" s="174"/>
      <c r="C852" s="175"/>
      <c r="D852" s="175"/>
      <c r="E852" s="176"/>
      <c r="F852" s="176"/>
      <c r="G852" s="177"/>
      <c r="H852" s="178"/>
      <c r="I852" s="179"/>
      <c r="J852" s="180"/>
      <c r="K852" s="181"/>
    </row>
    <row r="853" ht="22.5" customHeight="1">
      <c r="A853" s="173"/>
      <c r="B853" s="174"/>
      <c r="C853" s="175"/>
      <c r="D853" s="175"/>
      <c r="E853" s="176"/>
      <c r="F853" s="176"/>
      <c r="G853" s="177"/>
      <c r="H853" s="178"/>
      <c r="I853" s="179"/>
      <c r="J853" s="180"/>
      <c r="K853" s="181"/>
    </row>
    <row r="854" ht="22.5" customHeight="1">
      <c r="A854" s="173"/>
      <c r="B854" s="174"/>
      <c r="C854" s="175"/>
      <c r="D854" s="175"/>
      <c r="E854" s="176"/>
      <c r="F854" s="176"/>
      <c r="G854" s="177"/>
      <c r="H854" s="178"/>
      <c r="I854" s="179"/>
      <c r="J854" s="180"/>
      <c r="K854" s="181"/>
    </row>
    <row r="855" ht="22.5" customHeight="1">
      <c r="A855" s="173"/>
      <c r="B855" s="174"/>
      <c r="C855" s="175"/>
      <c r="D855" s="175"/>
      <c r="E855" s="176"/>
      <c r="F855" s="176"/>
      <c r="G855" s="177"/>
      <c r="H855" s="178"/>
      <c r="I855" s="179"/>
      <c r="J855" s="180"/>
      <c r="K855" s="181"/>
    </row>
    <row r="856" ht="22.5" customHeight="1">
      <c r="A856" s="173"/>
      <c r="B856" s="174"/>
      <c r="C856" s="175"/>
      <c r="D856" s="175"/>
      <c r="E856" s="176"/>
      <c r="F856" s="176"/>
      <c r="G856" s="177"/>
      <c r="H856" s="178"/>
      <c r="I856" s="179"/>
      <c r="J856" s="180"/>
      <c r="K856" s="181"/>
    </row>
    <row r="857" ht="22.5" customHeight="1">
      <c r="A857" s="173"/>
      <c r="B857" s="174"/>
      <c r="C857" s="175"/>
      <c r="D857" s="175"/>
      <c r="E857" s="176"/>
      <c r="F857" s="176"/>
      <c r="G857" s="177"/>
      <c r="H857" s="178"/>
      <c r="I857" s="179"/>
      <c r="J857" s="180"/>
      <c r="K857" s="181"/>
    </row>
    <row r="858" ht="22.5" customHeight="1">
      <c r="A858" s="173"/>
      <c r="B858" s="174"/>
      <c r="C858" s="175"/>
      <c r="D858" s="175"/>
      <c r="E858" s="176"/>
      <c r="F858" s="176"/>
      <c r="G858" s="177"/>
      <c r="H858" s="178"/>
      <c r="I858" s="179"/>
      <c r="J858" s="180"/>
      <c r="K858" s="181"/>
    </row>
    <row r="859" ht="22.5" customHeight="1">
      <c r="A859" s="173"/>
      <c r="B859" s="174"/>
      <c r="C859" s="175"/>
      <c r="D859" s="175"/>
      <c r="E859" s="176"/>
      <c r="F859" s="176"/>
      <c r="G859" s="177"/>
      <c r="H859" s="178"/>
      <c r="I859" s="179"/>
      <c r="J859" s="180"/>
      <c r="K859" s="181"/>
    </row>
    <row r="860" ht="22.5" customHeight="1">
      <c r="A860" s="173"/>
      <c r="B860" s="174"/>
      <c r="C860" s="175"/>
      <c r="D860" s="175"/>
      <c r="E860" s="176"/>
      <c r="F860" s="176"/>
      <c r="G860" s="177"/>
      <c r="H860" s="178"/>
      <c r="I860" s="179"/>
      <c r="J860" s="180"/>
      <c r="K860" s="181"/>
    </row>
    <row r="861" ht="22.5" customHeight="1">
      <c r="A861" s="173"/>
      <c r="B861" s="174"/>
      <c r="C861" s="175"/>
      <c r="D861" s="175"/>
      <c r="E861" s="176"/>
      <c r="F861" s="176"/>
      <c r="G861" s="177"/>
      <c r="H861" s="178"/>
      <c r="I861" s="179"/>
      <c r="J861" s="180"/>
      <c r="K861" s="181"/>
    </row>
    <row r="862" ht="22.5" customHeight="1">
      <c r="A862" s="173"/>
      <c r="B862" s="174"/>
      <c r="C862" s="175"/>
      <c r="D862" s="175"/>
      <c r="E862" s="176"/>
      <c r="F862" s="176"/>
      <c r="G862" s="177"/>
      <c r="H862" s="178"/>
      <c r="I862" s="179"/>
      <c r="J862" s="180"/>
      <c r="K862" s="181"/>
    </row>
    <row r="863" ht="22.5" customHeight="1">
      <c r="A863" s="173"/>
      <c r="B863" s="174"/>
      <c r="C863" s="175"/>
      <c r="D863" s="175"/>
      <c r="E863" s="176"/>
      <c r="F863" s="176"/>
      <c r="G863" s="177"/>
      <c r="H863" s="178"/>
      <c r="I863" s="179"/>
      <c r="J863" s="180"/>
      <c r="K863" s="181"/>
    </row>
    <row r="864" ht="22.5" customHeight="1">
      <c r="A864" s="173"/>
      <c r="B864" s="174"/>
      <c r="C864" s="175"/>
      <c r="D864" s="175"/>
      <c r="E864" s="176"/>
      <c r="F864" s="176"/>
      <c r="G864" s="177"/>
      <c r="H864" s="178"/>
      <c r="I864" s="179"/>
      <c r="J864" s="180"/>
      <c r="K864" s="181"/>
    </row>
    <row r="865" ht="22.5" customHeight="1">
      <c r="A865" s="173"/>
      <c r="B865" s="174"/>
      <c r="C865" s="175"/>
      <c r="D865" s="175"/>
      <c r="E865" s="176"/>
      <c r="F865" s="176"/>
      <c r="G865" s="177"/>
      <c r="H865" s="178"/>
      <c r="I865" s="179"/>
      <c r="J865" s="180"/>
      <c r="K865" s="181"/>
    </row>
    <row r="866" ht="22.5" customHeight="1">
      <c r="A866" s="173"/>
      <c r="B866" s="174"/>
      <c r="C866" s="175"/>
      <c r="D866" s="175"/>
      <c r="E866" s="176"/>
      <c r="F866" s="176"/>
      <c r="G866" s="177"/>
      <c r="H866" s="178"/>
      <c r="I866" s="179"/>
      <c r="J866" s="180"/>
      <c r="K866" s="181"/>
    </row>
    <row r="867" ht="22.5" customHeight="1">
      <c r="A867" s="173"/>
      <c r="B867" s="174"/>
      <c r="C867" s="175"/>
      <c r="D867" s="175"/>
      <c r="E867" s="176"/>
      <c r="F867" s="176"/>
      <c r="G867" s="177"/>
      <c r="H867" s="178"/>
      <c r="I867" s="179"/>
      <c r="J867" s="180"/>
      <c r="K867" s="181"/>
    </row>
    <row r="868" ht="22.5" customHeight="1">
      <c r="A868" s="173"/>
      <c r="B868" s="174"/>
      <c r="C868" s="175"/>
      <c r="D868" s="175"/>
      <c r="E868" s="176"/>
      <c r="F868" s="176"/>
      <c r="G868" s="177"/>
      <c r="H868" s="178"/>
      <c r="I868" s="179"/>
      <c r="J868" s="180"/>
      <c r="K868" s="181"/>
    </row>
    <row r="869" ht="22.5" customHeight="1">
      <c r="A869" s="173"/>
      <c r="B869" s="174"/>
      <c r="C869" s="175"/>
      <c r="D869" s="175"/>
      <c r="E869" s="176"/>
      <c r="F869" s="176"/>
      <c r="G869" s="177"/>
      <c r="H869" s="178"/>
      <c r="I869" s="179"/>
      <c r="J869" s="180"/>
      <c r="K869" s="181"/>
    </row>
    <row r="870" ht="22.5" customHeight="1">
      <c r="A870" s="173"/>
      <c r="B870" s="174"/>
      <c r="C870" s="175"/>
      <c r="D870" s="175"/>
      <c r="E870" s="176"/>
      <c r="F870" s="176"/>
      <c r="G870" s="177"/>
      <c r="H870" s="178"/>
      <c r="I870" s="179"/>
      <c r="J870" s="180"/>
      <c r="K870" s="181"/>
    </row>
    <row r="871" ht="22.5" customHeight="1">
      <c r="A871" s="173"/>
      <c r="B871" s="174"/>
      <c r="C871" s="175"/>
      <c r="D871" s="175"/>
      <c r="E871" s="176"/>
      <c r="F871" s="176"/>
      <c r="G871" s="177"/>
      <c r="H871" s="178"/>
      <c r="I871" s="179"/>
      <c r="J871" s="180"/>
      <c r="K871" s="181"/>
    </row>
    <row r="872" ht="22.5" customHeight="1">
      <c r="A872" s="173"/>
      <c r="B872" s="174"/>
      <c r="C872" s="175"/>
      <c r="D872" s="175"/>
      <c r="E872" s="176"/>
      <c r="F872" s="176"/>
      <c r="G872" s="177"/>
      <c r="H872" s="178"/>
      <c r="I872" s="179"/>
      <c r="J872" s="180"/>
      <c r="K872" s="181"/>
    </row>
    <row r="873" ht="22.5" customHeight="1">
      <c r="A873" s="173"/>
      <c r="B873" s="174"/>
      <c r="C873" s="175"/>
      <c r="D873" s="175"/>
      <c r="E873" s="176"/>
      <c r="F873" s="176"/>
      <c r="G873" s="177"/>
      <c r="H873" s="178"/>
      <c r="I873" s="179"/>
      <c r="J873" s="180"/>
      <c r="K873" s="181"/>
    </row>
    <row r="874" ht="22.5" customHeight="1">
      <c r="A874" s="173"/>
      <c r="B874" s="174"/>
      <c r="C874" s="175"/>
      <c r="D874" s="175"/>
      <c r="E874" s="176"/>
      <c r="F874" s="176"/>
      <c r="G874" s="177"/>
      <c r="H874" s="178"/>
      <c r="I874" s="179"/>
      <c r="J874" s="180"/>
      <c r="K874" s="181"/>
    </row>
    <row r="875" ht="22.5" customHeight="1">
      <c r="A875" s="173"/>
      <c r="B875" s="174"/>
      <c r="C875" s="175"/>
      <c r="D875" s="175"/>
      <c r="E875" s="176"/>
      <c r="F875" s="176"/>
      <c r="G875" s="177"/>
      <c r="H875" s="178"/>
      <c r="I875" s="179"/>
      <c r="J875" s="180"/>
      <c r="K875" s="181"/>
    </row>
    <row r="876" ht="22.5" customHeight="1">
      <c r="A876" s="173"/>
      <c r="B876" s="174"/>
      <c r="C876" s="175"/>
      <c r="D876" s="175"/>
      <c r="E876" s="176"/>
      <c r="F876" s="176"/>
      <c r="G876" s="177"/>
      <c r="H876" s="178"/>
      <c r="I876" s="179"/>
      <c r="J876" s="180"/>
      <c r="K876" s="181"/>
    </row>
    <row r="877" ht="22.5" customHeight="1">
      <c r="A877" s="173"/>
      <c r="B877" s="174"/>
      <c r="C877" s="175"/>
      <c r="D877" s="175"/>
      <c r="E877" s="176"/>
      <c r="F877" s="176"/>
      <c r="G877" s="177"/>
      <c r="H877" s="178"/>
      <c r="I877" s="179"/>
      <c r="J877" s="180"/>
      <c r="K877" s="181"/>
    </row>
    <row r="878" ht="22.5" customHeight="1">
      <c r="A878" s="173"/>
      <c r="B878" s="174"/>
      <c r="C878" s="175"/>
      <c r="D878" s="175"/>
      <c r="E878" s="176"/>
      <c r="F878" s="176"/>
      <c r="G878" s="177"/>
      <c r="H878" s="178"/>
      <c r="I878" s="179"/>
      <c r="J878" s="180"/>
      <c r="K878" s="181"/>
    </row>
    <row r="879" ht="22.5" customHeight="1">
      <c r="A879" s="173"/>
      <c r="B879" s="174"/>
      <c r="C879" s="175"/>
      <c r="D879" s="175"/>
      <c r="E879" s="176"/>
      <c r="F879" s="176"/>
      <c r="G879" s="177"/>
      <c r="H879" s="178"/>
      <c r="I879" s="179"/>
      <c r="J879" s="180"/>
      <c r="K879" s="181"/>
    </row>
    <row r="880" ht="22.5" customHeight="1">
      <c r="A880" s="173"/>
      <c r="B880" s="174"/>
      <c r="C880" s="175"/>
      <c r="D880" s="175"/>
      <c r="E880" s="176"/>
      <c r="F880" s="176"/>
      <c r="G880" s="177"/>
      <c r="H880" s="178"/>
      <c r="I880" s="179"/>
      <c r="J880" s="180"/>
      <c r="K880" s="181"/>
    </row>
    <row r="881" ht="22.5" customHeight="1">
      <c r="A881" s="173"/>
      <c r="B881" s="174"/>
      <c r="C881" s="175"/>
      <c r="D881" s="175"/>
      <c r="E881" s="176"/>
      <c r="F881" s="176"/>
      <c r="G881" s="177"/>
      <c r="H881" s="178"/>
      <c r="I881" s="179"/>
      <c r="J881" s="180"/>
      <c r="K881" s="181"/>
    </row>
    <row r="882" ht="22.5" customHeight="1">
      <c r="A882" s="173"/>
      <c r="B882" s="174"/>
      <c r="C882" s="175"/>
      <c r="D882" s="175"/>
      <c r="E882" s="176"/>
      <c r="F882" s="176"/>
      <c r="G882" s="177"/>
      <c r="H882" s="178"/>
      <c r="I882" s="179"/>
      <c r="J882" s="180"/>
      <c r="K882" s="181"/>
    </row>
    <row r="883" ht="22.5" customHeight="1">
      <c r="A883" s="173"/>
      <c r="B883" s="174"/>
      <c r="C883" s="175"/>
      <c r="D883" s="175"/>
      <c r="E883" s="176"/>
      <c r="F883" s="176"/>
      <c r="G883" s="177"/>
      <c r="H883" s="178"/>
      <c r="I883" s="179"/>
      <c r="J883" s="180"/>
      <c r="K883" s="181"/>
    </row>
    <row r="884" ht="22.5" customHeight="1">
      <c r="A884" s="173"/>
      <c r="B884" s="174"/>
      <c r="C884" s="175"/>
      <c r="D884" s="175"/>
      <c r="E884" s="176"/>
      <c r="F884" s="176"/>
      <c r="G884" s="177"/>
      <c r="H884" s="178"/>
      <c r="I884" s="179"/>
      <c r="J884" s="180"/>
      <c r="K884" s="181"/>
    </row>
    <row r="885" ht="22.5" customHeight="1">
      <c r="A885" s="173"/>
      <c r="B885" s="174"/>
      <c r="C885" s="175"/>
      <c r="D885" s="175"/>
      <c r="E885" s="176"/>
      <c r="F885" s="176"/>
      <c r="G885" s="177"/>
      <c r="H885" s="178"/>
      <c r="I885" s="179"/>
      <c r="J885" s="180"/>
      <c r="K885" s="181"/>
    </row>
    <row r="886" ht="22.5" customHeight="1">
      <c r="A886" s="173"/>
      <c r="B886" s="174"/>
      <c r="C886" s="175"/>
      <c r="D886" s="175"/>
      <c r="E886" s="176"/>
      <c r="F886" s="176"/>
      <c r="G886" s="177"/>
      <c r="H886" s="178"/>
      <c r="I886" s="179"/>
      <c r="J886" s="180"/>
      <c r="K886" s="181"/>
    </row>
    <row r="887" ht="22.5" customHeight="1">
      <c r="A887" s="173"/>
      <c r="B887" s="174"/>
      <c r="C887" s="175"/>
      <c r="D887" s="175"/>
      <c r="E887" s="176"/>
      <c r="F887" s="176"/>
      <c r="G887" s="177"/>
      <c r="H887" s="178"/>
      <c r="I887" s="179"/>
      <c r="J887" s="180"/>
      <c r="K887" s="181"/>
    </row>
    <row r="888" ht="22.5" customHeight="1">
      <c r="A888" s="173"/>
      <c r="B888" s="174"/>
      <c r="C888" s="175"/>
      <c r="D888" s="175"/>
      <c r="E888" s="176"/>
      <c r="F888" s="176"/>
      <c r="G888" s="177"/>
      <c r="H888" s="178"/>
      <c r="I888" s="179"/>
      <c r="J888" s="180"/>
      <c r="K888" s="181"/>
    </row>
    <row r="889" ht="22.5" customHeight="1">
      <c r="A889" s="173"/>
      <c r="B889" s="174"/>
      <c r="C889" s="175"/>
      <c r="D889" s="175"/>
      <c r="E889" s="176"/>
      <c r="F889" s="176"/>
      <c r="G889" s="177"/>
      <c r="H889" s="178"/>
      <c r="I889" s="179"/>
      <c r="J889" s="180"/>
      <c r="K889" s="181"/>
    </row>
    <row r="890" ht="22.5" customHeight="1">
      <c r="A890" s="173"/>
      <c r="B890" s="174"/>
      <c r="C890" s="175"/>
      <c r="D890" s="175"/>
      <c r="E890" s="176"/>
      <c r="F890" s="176"/>
      <c r="G890" s="177"/>
      <c r="H890" s="178"/>
      <c r="I890" s="179"/>
      <c r="J890" s="180"/>
      <c r="K890" s="181"/>
    </row>
    <row r="891" ht="22.5" customHeight="1">
      <c r="A891" s="173"/>
      <c r="B891" s="174"/>
      <c r="C891" s="175"/>
      <c r="D891" s="175"/>
      <c r="E891" s="176"/>
      <c r="F891" s="176"/>
      <c r="G891" s="177"/>
      <c r="H891" s="178"/>
      <c r="I891" s="179"/>
      <c r="J891" s="180"/>
      <c r="K891" s="181"/>
    </row>
    <row r="892" ht="22.5" customHeight="1">
      <c r="A892" s="173"/>
      <c r="B892" s="174"/>
      <c r="C892" s="175"/>
      <c r="D892" s="175"/>
      <c r="E892" s="176"/>
      <c r="F892" s="176"/>
      <c r="G892" s="177"/>
      <c r="H892" s="178"/>
      <c r="I892" s="179"/>
      <c r="J892" s="180"/>
      <c r="K892" s="181"/>
    </row>
    <row r="893" ht="22.5" customHeight="1">
      <c r="A893" s="173"/>
      <c r="B893" s="174"/>
      <c r="C893" s="175"/>
      <c r="D893" s="175"/>
      <c r="E893" s="176"/>
      <c r="F893" s="176"/>
      <c r="G893" s="177"/>
      <c r="H893" s="178"/>
      <c r="I893" s="179"/>
      <c r="J893" s="180"/>
      <c r="K893" s="181"/>
    </row>
    <row r="894" ht="22.5" customHeight="1">
      <c r="A894" s="173"/>
      <c r="B894" s="174"/>
      <c r="C894" s="175"/>
      <c r="D894" s="175"/>
      <c r="E894" s="176"/>
      <c r="F894" s="176"/>
      <c r="G894" s="177"/>
      <c r="H894" s="178"/>
      <c r="I894" s="179"/>
      <c r="J894" s="180"/>
      <c r="K894" s="181"/>
    </row>
    <row r="895" ht="22.5" customHeight="1">
      <c r="A895" s="173"/>
      <c r="B895" s="174"/>
      <c r="C895" s="175"/>
      <c r="D895" s="175"/>
      <c r="E895" s="176"/>
      <c r="F895" s="176"/>
      <c r="G895" s="177"/>
      <c r="H895" s="178"/>
      <c r="I895" s="179"/>
      <c r="J895" s="180"/>
      <c r="K895" s="181"/>
    </row>
    <row r="896" ht="22.5" customHeight="1">
      <c r="A896" s="173"/>
      <c r="B896" s="174"/>
      <c r="C896" s="175"/>
      <c r="D896" s="175"/>
      <c r="E896" s="176"/>
      <c r="F896" s="176"/>
      <c r="G896" s="177"/>
      <c r="H896" s="178"/>
      <c r="I896" s="179"/>
      <c r="J896" s="180"/>
      <c r="K896" s="181"/>
    </row>
    <row r="897" ht="22.5" customHeight="1">
      <c r="A897" s="173"/>
      <c r="B897" s="174"/>
      <c r="C897" s="175"/>
      <c r="D897" s="175"/>
      <c r="E897" s="176"/>
      <c r="F897" s="176"/>
      <c r="G897" s="177"/>
      <c r="H897" s="178"/>
      <c r="I897" s="179"/>
      <c r="J897" s="180"/>
      <c r="K897" s="181"/>
    </row>
    <row r="898" ht="22.5" customHeight="1">
      <c r="A898" s="173"/>
      <c r="B898" s="174"/>
      <c r="C898" s="175"/>
      <c r="D898" s="175"/>
      <c r="E898" s="176"/>
      <c r="F898" s="176"/>
      <c r="G898" s="177"/>
      <c r="H898" s="178"/>
      <c r="I898" s="179"/>
      <c r="J898" s="180"/>
      <c r="K898" s="181"/>
    </row>
    <row r="899" ht="22.5" customHeight="1">
      <c r="A899" s="173"/>
      <c r="B899" s="174"/>
      <c r="C899" s="175"/>
      <c r="D899" s="175"/>
      <c r="E899" s="176"/>
      <c r="F899" s="176"/>
      <c r="G899" s="177"/>
      <c r="H899" s="178"/>
      <c r="I899" s="179"/>
      <c r="J899" s="180"/>
      <c r="K899" s="181"/>
    </row>
    <row r="900" ht="22.5" customHeight="1">
      <c r="A900" s="173"/>
      <c r="B900" s="174"/>
      <c r="C900" s="175"/>
      <c r="D900" s="175"/>
      <c r="E900" s="176"/>
      <c r="F900" s="176"/>
      <c r="G900" s="177"/>
      <c r="H900" s="178"/>
      <c r="I900" s="179"/>
      <c r="J900" s="180"/>
      <c r="K900" s="181"/>
    </row>
    <row r="901" ht="22.5" customHeight="1">
      <c r="A901" s="173"/>
      <c r="B901" s="174"/>
      <c r="C901" s="175"/>
      <c r="D901" s="175"/>
      <c r="E901" s="176"/>
      <c r="F901" s="176"/>
      <c r="G901" s="177"/>
      <c r="H901" s="178"/>
      <c r="I901" s="179"/>
      <c r="J901" s="180"/>
      <c r="K901" s="181"/>
    </row>
    <row r="902" ht="22.5" customHeight="1">
      <c r="A902" s="173"/>
      <c r="B902" s="174"/>
      <c r="C902" s="175"/>
      <c r="D902" s="175"/>
      <c r="E902" s="176"/>
      <c r="F902" s="176"/>
      <c r="G902" s="177"/>
      <c r="H902" s="178"/>
      <c r="I902" s="179"/>
      <c r="J902" s="180"/>
      <c r="K902" s="181"/>
    </row>
    <row r="903" ht="22.5" customHeight="1">
      <c r="A903" s="173"/>
      <c r="B903" s="174"/>
      <c r="C903" s="175"/>
      <c r="D903" s="175"/>
      <c r="E903" s="176"/>
      <c r="F903" s="176"/>
      <c r="G903" s="177"/>
      <c r="H903" s="178"/>
      <c r="I903" s="179"/>
      <c r="J903" s="180"/>
      <c r="K903" s="181"/>
    </row>
    <row r="904" ht="22.5" customHeight="1">
      <c r="A904" s="173"/>
      <c r="B904" s="174"/>
      <c r="C904" s="175"/>
      <c r="D904" s="175"/>
      <c r="E904" s="176"/>
      <c r="F904" s="176"/>
      <c r="G904" s="177"/>
      <c r="H904" s="178"/>
      <c r="I904" s="179"/>
      <c r="J904" s="180"/>
      <c r="K904" s="181"/>
    </row>
    <row r="905" ht="22.5" customHeight="1">
      <c r="A905" s="173"/>
      <c r="B905" s="174"/>
      <c r="C905" s="175"/>
      <c r="D905" s="175"/>
      <c r="E905" s="176"/>
      <c r="F905" s="176"/>
      <c r="G905" s="177"/>
      <c r="H905" s="178"/>
      <c r="I905" s="179"/>
      <c r="J905" s="180"/>
      <c r="K905" s="181"/>
    </row>
    <row r="906" ht="22.5" customHeight="1">
      <c r="A906" s="173"/>
      <c r="B906" s="174"/>
      <c r="C906" s="175"/>
      <c r="D906" s="175"/>
      <c r="E906" s="176"/>
      <c r="F906" s="176"/>
      <c r="G906" s="177"/>
      <c r="H906" s="178"/>
      <c r="I906" s="179"/>
      <c r="J906" s="180"/>
      <c r="K906" s="181"/>
    </row>
    <row r="907" ht="22.5" customHeight="1">
      <c r="A907" s="173"/>
      <c r="B907" s="174"/>
      <c r="C907" s="175"/>
      <c r="D907" s="175"/>
      <c r="E907" s="176"/>
      <c r="F907" s="176"/>
      <c r="G907" s="177"/>
      <c r="H907" s="178"/>
      <c r="I907" s="179"/>
      <c r="J907" s="180"/>
      <c r="K907" s="181"/>
    </row>
    <row r="908" ht="22.5" customHeight="1">
      <c r="A908" s="173"/>
      <c r="B908" s="174"/>
      <c r="C908" s="175"/>
      <c r="D908" s="175"/>
      <c r="E908" s="176"/>
      <c r="F908" s="176"/>
      <c r="G908" s="177"/>
      <c r="H908" s="178"/>
      <c r="I908" s="179"/>
      <c r="J908" s="180"/>
      <c r="K908" s="181"/>
    </row>
    <row r="909" ht="22.5" customHeight="1">
      <c r="A909" s="173"/>
      <c r="B909" s="174"/>
      <c r="C909" s="175"/>
      <c r="D909" s="175"/>
      <c r="E909" s="176"/>
      <c r="F909" s="176"/>
      <c r="G909" s="177"/>
      <c r="H909" s="178"/>
      <c r="I909" s="179"/>
      <c r="J909" s="180"/>
      <c r="K909" s="181"/>
    </row>
    <row r="910" ht="22.5" customHeight="1">
      <c r="A910" s="173"/>
      <c r="B910" s="174"/>
      <c r="C910" s="175"/>
      <c r="D910" s="175"/>
      <c r="E910" s="176"/>
      <c r="F910" s="176"/>
      <c r="G910" s="177"/>
      <c r="H910" s="178"/>
      <c r="I910" s="179"/>
      <c r="J910" s="180"/>
      <c r="K910" s="181"/>
    </row>
    <row r="911" ht="22.5" customHeight="1">
      <c r="A911" s="173"/>
      <c r="B911" s="174"/>
      <c r="C911" s="175"/>
      <c r="D911" s="175"/>
      <c r="E911" s="176"/>
      <c r="F911" s="176"/>
      <c r="G911" s="177"/>
      <c r="H911" s="178"/>
      <c r="I911" s="179"/>
      <c r="J911" s="180"/>
      <c r="K911" s="181"/>
    </row>
    <row r="912" ht="22.5" customHeight="1">
      <c r="A912" s="173"/>
      <c r="B912" s="174"/>
      <c r="C912" s="175"/>
      <c r="D912" s="175"/>
      <c r="E912" s="176"/>
      <c r="F912" s="176"/>
      <c r="G912" s="177"/>
      <c r="H912" s="178"/>
      <c r="I912" s="179"/>
      <c r="J912" s="180"/>
      <c r="K912" s="181"/>
    </row>
    <row r="913" ht="22.5" customHeight="1">
      <c r="A913" s="173"/>
      <c r="B913" s="174"/>
      <c r="C913" s="175"/>
      <c r="D913" s="175"/>
      <c r="E913" s="176"/>
      <c r="F913" s="176"/>
      <c r="G913" s="177"/>
      <c r="H913" s="178"/>
      <c r="I913" s="179"/>
      <c r="J913" s="180"/>
      <c r="K913" s="181"/>
    </row>
    <row r="914" ht="22.5" customHeight="1">
      <c r="A914" s="173"/>
      <c r="B914" s="174"/>
      <c r="C914" s="175"/>
      <c r="D914" s="175"/>
      <c r="E914" s="176"/>
      <c r="F914" s="176"/>
      <c r="G914" s="177"/>
      <c r="H914" s="178"/>
      <c r="I914" s="179"/>
      <c r="J914" s="180"/>
      <c r="K914" s="181"/>
    </row>
    <row r="915" ht="22.5" customHeight="1">
      <c r="A915" s="173"/>
      <c r="B915" s="174"/>
      <c r="C915" s="175"/>
      <c r="D915" s="175"/>
      <c r="E915" s="176"/>
      <c r="F915" s="176"/>
      <c r="G915" s="177"/>
      <c r="H915" s="178"/>
      <c r="I915" s="179"/>
      <c r="J915" s="180"/>
      <c r="K915" s="181"/>
    </row>
    <row r="916" ht="22.5" customHeight="1">
      <c r="A916" s="173"/>
      <c r="B916" s="174"/>
      <c r="C916" s="175"/>
      <c r="D916" s="175"/>
      <c r="E916" s="176"/>
      <c r="F916" s="176"/>
      <c r="G916" s="177"/>
      <c r="H916" s="178"/>
      <c r="I916" s="179"/>
      <c r="J916" s="180"/>
      <c r="K916" s="181"/>
    </row>
    <row r="917" ht="22.5" customHeight="1">
      <c r="A917" s="173"/>
      <c r="B917" s="174"/>
      <c r="C917" s="175"/>
      <c r="D917" s="175"/>
      <c r="E917" s="176"/>
      <c r="F917" s="176"/>
      <c r="G917" s="177"/>
      <c r="H917" s="178"/>
      <c r="I917" s="179"/>
      <c r="J917" s="180"/>
      <c r="K917" s="181"/>
    </row>
    <row r="918" ht="22.5" customHeight="1">
      <c r="A918" s="173"/>
      <c r="B918" s="174"/>
      <c r="C918" s="175"/>
      <c r="D918" s="175"/>
      <c r="E918" s="176"/>
      <c r="F918" s="176"/>
      <c r="G918" s="177"/>
      <c r="H918" s="178"/>
      <c r="I918" s="179"/>
      <c r="J918" s="180"/>
      <c r="K918" s="181"/>
    </row>
    <row r="919" ht="22.5" customHeight="1">
      <c r="A919" s="173"/>
      <c r="B919" s="174"/>
      <c r="C919" s="175"/>
      <c r="D919" s="175"/>
      <c r="E919" s="176"/>
      <c r="F919" s="176"/>
      <c r="G919" s="177"/>
      <c r="H919" s="178"/>
      <c r="I919" s="179"/>
      <c r="J919" s="180"/>
      <c r="K919" s="181"/>
    </row>
    <row r="920" ht="22.5" customHeight="1">
      <c r="A920" s="173"/>
      <c r="B920" s="174"/>
      <c r="C920" s="175"/>
      <c r="D920" s="175"/>
      <c r="E920" s="176"/>
      <c r="F920" s="176"/>
      <c r="G920" s="177"/>
      <c r="H920" s="178"/>
      <c r="I920" s="179"/>
      <c r="J920" s="180"/>
      <c r="K920" s="181"/>
    </row>
    <row r="921" ht="22.5" customHeight="1">
      <c r="A921" s="173"/>
      <c r="B921" s="174"/>
      <c r="C921" s="175"/>
      <c r="D921" s="175"/>
      <c r="E921" s="176"/>
      <c r="F921" s="176"/>
      <c r="G921" s="177"/>
      <c r="H921" s="178"/>
      <c r="I921" s="179"/>
      <c r="J921" s="180"/>
      <c r="K921" s="181"/>
    </row>
    <row r="922" ht="22.5" customHeight="1">
      <c r="A922" s="173"/>
      <c r="B922" s="174"/>
      <c r="C922" s="175"/>
      <c r="D922" s="175"/>
      <c r="E922" s="176"/>
      <c r="F922" s="176"/>
      <c r="G922" s="177"/>
      <c r="H922" s="178"/>
      <c r="I922" s="179"/>
      <c r="J922" s="180"/>
      <c r="K922" s="181"/>
    </row>
    <row r="923" ht="22.5" customHeight="1">
      <c r="A923" s="173"/>
      <c r="B923" s="174"/>
      <c r="C923" s="175"/>
      <c r="D923" s="175"/>
      <c r="E923" s="176"/>
      <c r="F923" s="176"/>
      <c r="G923" s="177"/>
      <c r="H923" s="178"/>
      <c r="I923" s="179"/>
      <c r="J923" s="180"/>
      <c r="K923" s="181"/>
    </row>
    <row r="924" ht="22.5" customHeight="1">
      <c r="A924" s="173"/>
      <c r="B924" s="174"/>
      <c r="C924" s="175"/>
      <c r="D924" s="175"/>
      <c r="E924" s="176"/>
      <c r="F924" s="176"/>
      <c r="G924" s="177"/>
      <c r="H924" s="178"/>
      <c r="I924" s="179"/>
      <c r="J924" s="180"/>
      <c r="K924" s="181"/>
    </row>
    <row r="925" ht="22.5" customHeight="1">
      <c r="A925" s="173"/>
      <c r="B925" s="174"/>
      <c r="C925" s="175"/>
      <c r="D925" s="175"/>
      <c r="E925" s="176"/>
      <c r="F925" s="176"/>
      <c r="G925" s="177"/>
      <c r="H925" s="178"/>
      <c r="I925" s="179"/>
      <c r="J925" s="180"/>
      <c r="K925" s="181"/>
    </row>
    <row r="926" ht="22.5" customHeight="1">
      <c r="A926" s="173"/>
      <c r="B926" s="174"/>
      <c r="C926" s="175"/>
      <c r="D926" s="175"/>
      <c r="E926" s="176"/>
      <c r="F926" s="176"/>
      <c r="G926" s="177"/>
      <c r="H926" s="178"/>
      <c r="I926" s="179"/>
      <c r="J926" s="180"/>
      <c r="K926" s="181"/>
    </row>
    <row r="927" ht="22.5" customHeight="1">
      <c r="A927" s="173"/>
      <c r="B927" s="174"/>
      <c r="C927" s="175"/>
      <c r="D927" s="175"/>
      <c r="E927" s="176"/>
      <c r="F927" s="176"/>
      <c r="G927" s="177"/>
      <c r="H927" s="178"/>
      <c r="I927" s="179"/>
      <c r="J927" s="180"/>
      <c r="K927" s="181"/>
    </row>
    <row r="928" ht="22.5" customHeight="1">
      <c r="A928" s="173"/>
      <c r="B928" s="174"/>
      <c r="C928" s="175"/>
      <c r="D928" s="175"/>
      <c r="E928" s="176"/>
      <c r="F928" s="176"/>
      <c r="G928" s="177"/>
      <c r="H928" s="178"/>
      <c r="I928" s="179"/>
      <c r="J928" s="180"/>
      <c r="K928" s="181"/>
    </row>
    <row r="929" ht="22.5" customHeight="1">
      <c r="A929" s="173"/>
      <c r="B929" s="174"/>
      <c r="C929" s="175"/>
      <c r="D929" s="175"/>
      <c r="E929" s="176"/>
      <c r="F929" s="176"/>
      <c r="G929" s="177"/>
      <c r="H929" s="178"/>
      <c r="I929" s="179"/>
      <c r="J929" s="180"/>
      <c r="K929" s="181"/>
    </row>
    <row r="930" ht="22.5" customHeight="1">
      <c r="A930" s="173"/>
      <c r="B930" s="174"/>
      <c r="C930" s="175"/>
      <c r="D930" s="175"/>
      <c r="E930" s="176"/>
      <c r="F930" s="176"/>
      <c r="G930" s="177"/>
      <c r="H930" s="178"/>
      <c r="I930" s="179"/>
      <c r="J930" s="180"/>
      <c r="K930" s="181"/>
    </row>
    <row r="931" ht="22.5" customHeight="1">
      <c r="A931" s="173"/>
      <c r="B931" s="174"/>
      <c r="C931" s="175"/>
      <c r="D931" s="175"/>
      <c r="E931" s="176"/>
      <c r="F931" s="176"/>
      <c r="G931" s="177"/>
      <c r="H931" s="178"/>
      <c r="I931" s="179"/>
      <c r="J931" s="180"/>
      <c r="K931" s="181"/>
    </row>
    <row r="932" ht="22.5" customHeight="1">
      <c r="A932" s="173"/>
      <c r="B932" s="174"/>
      <c r="C932" s="175"/>
      <c r="D932" s="175"/>
      <c r="E932" s="176"/>
      <c r="F932" s="176"/>
      <c r="G932" s="177"/>
      <c r="H932" s="178"/>
      <c r="I932" s="179"/>
      <c r="J932" s="180"/>
      <c r="K932" s="181"/>
    </row>
    <row r="933" ht="22.5" customHeight="1">
      <c r="A933" s="173"/>
      <c r="B933" s="174"/>
      <c r="C933" s="175"/>
      <c r="D933" s="175"/>
      <c r="E933" s="176"/>
      <c r="F933" s="176"/>
      <c r="G933" s="177"/>
      <c r="H933" s="178"/>
      <c r="I933" s="179"/>
      <c r="J933" s="180"/>
      <c r="K933" s="181"/>
    </row>
    <row r="934" ht="22.5" customHeight="1">
      <c r="A934" s="173"/>
      <c r="B934" s="174"/>
      <c r="C934" s="175"/>
      <c r="D934" s="175"/>
      <c r="E934" s="176"/>
      <c r="F934" s="176"/>
      <c r="G934" s="177"/>
      <c r="H934" s="178"/>
      <c r="I934" s="179"/>
      <c r="J934" s="180"/>
      <c r="K934" s="181"/>
    </row>
    <row r="935" ht="22.5" customHeight="1">
      <c r="A935" s="173"/>
      <c r="B935" s="174"/>
      <c r="C935" s="175"/>
      <c r="D935" s="175"/>
      <c r="E935" s="176"/>
      <c r="F935" s="176"/>
      <c r="G935" s="177"/>
      <c r="H935" s="178"/>
      <c r="I935" s="179"/>
      <c r="J935" s="180"/>
      <c r="K935" s="181"/>
    </row>
    <row r="936" ht="22.5" customHeight="1">
      <c r="A936" s="173"/>
      <c r="B936" s="174"/>
      <c r="C936" s="175"/>
      <c r="D936" s="175"/>
      <c r="E936" s="176"/>
      <c r="F936" s="176"/>
      <c r="G936" s="177"/>
      <c r="H936" s="178"/>
      <c r="I936" s="179"/>
      <c r="J936" s="180"/>
      <c r="K936" s="181"/>
    </row>
    <row r="937" ht="22.5" customHeight="1">
      <c r="A937" s="173"/>
      <c r="B937" s="174"/>
      <c r="C937" s="175"/>
      <c r="D937" s="175"/>
      <c r="E937" s="176"/>
      <c r="F937" s="176"/>
      <c r="G937" s="177"/>
      <c r="H937" s="178"/>
      <c r="I937" s="179"/>
      <c r="J937" s="180"/>
      <c r="K937" s="181"/>
    </row>
    <row r="938" ht="22.5" customHeight="1">
      <c r="A938" s="173"/>
      <c r="B938" s="174"/>
      <c r="C938" s="175"/>
      <c r="D938" s="175"/>
      <c r="E938" s="176"/>
      <c r="F938" s="176"/>
      <c r="G938" s="177"/>
      <c r="H938" s="178"/>
      <c r="I938" s="179"/>
      <c r="J938" s="180"/>
      <c r="K938" s="181"/>
    </row>
    <row r="939" ht="22.5" customHeight="1">
      <c r="A939" s="173"/>
      <c r="B939" s="174"/>
      <c r="C939" s="175"/>
      <c r="D939" s="175"/>
      <c r="E939" s="176"/>
      <c r="F939" s="176"/>
      <c r="G939" s="177"/>
      <c r="H939" s="178"/>
      <c r="I939" s="179"/>
      <c r="J939" s="180"/>
      <c r="K939" s="181"/>
    </row>
    <row r="940" ht="22.5" customHeight="1">
      <c r="A940" s="173"/>
      <c r="B940" s="174"/>
      <c r="C940" s="175"/>
      <c r="D940" s="175"/>
      <c r="E940" s="176"/>
      <c r="F940" s="176"/>
      <c r="G940" s="177"/>
      <c r="H940" s="178"/>
      <c r="I940" s="179"/>
      <c r="J940" s="180"/>
      <c r="K940" s="181"/>
    </row>
    <row r="941" ht="22.5" customHeight="1">
      <c r="A941" s="173"/>
      <c r="B941" s="174"/>
      <c r="C941" s="175"/>
      <c r="D941" s="175"/>
      <c r="E941" s="176"/>
      <c r="F941" s="176"/>
      <c r="G941" s="177"/>
      <c r="H941" s="178"/>
      <c r="I941" s="179"/>
      <c r="J941" s="180"/>
      <c r="K941" s="181"/>
    </row>
    <row r="942" ht="22.5" customHeight="1">
      <c r="A942" s="173"/>
      <c r="B942" s="174"/>
      <c r="C942" s="175"/>
      <c r="D942" s="175"/>
      <c r="E942" s="176"/>
      <c r="F942" s="176"/>
      <c r="G942" s="177"/>
      <c r="H942" s="178"/>
      <c r="I942" s="179"/>
      <c r="J942" s="180"/>
      <c r="K942" s="181"/>
    </row>
    <row r="943" ht="22.5" customHeight="1">
      <c r="A943" s="173"/>
      <c r="B943" s="174"/>
      <c r="C943" s="175"/>
      <c r="D943" s="175"/>
      <c r="E943" s="176"/>
      <c r="F943" s="176"/>
      <c r="G943" s="177"/>
      <c r="H943" s="178"/>
      <c r="I943" s="179"/>
      <c r="J943" s="180"/>
      <c r="K943" s="181"/>
    </row>
    <row r="944" ht="22.5" customHeight="1">
      <c r="A944" s="173"/>
      <c r="B944" s="174"/>
      <c r="C944" s="175"/>
      <c r="D944" s="175"/>
      <c r="E944" s="176"/>
      <c r="F944" s="176"/>
      <c r="G944" s="177"/>
      <c r="H944" s="178"/>
      <c r="I944" s="179"/>
      <c r="J944" s="180"/>
      <c r="K944" s="181"/>
    </row>
    <row r="945" ht="22.5" customHeight="1">
      <c r="A945" s="173"/>
      <c r="B945" s="174"/>
      <c r="C945" s="175"/>
      <c r="D945" s="175"/>
      <c r="E945" s="176"/>
      <c r="F945" s="176"/>
      <c r="G945" s="177"/>
      <c r="H945" s="178"/>
      <c r="I945" s="179"/>
      <c r="J945" s="180"/>
      <c r="K945" s="181"/>
    </row>
    <row r="946" ht="22.5" customHeight="1">
      <c r="A946" s="173"/>
      <c r="B946" s="174"/>
      <c r="C946" s="175"/>
      <c r="D946" s="175"/>
      <c r="E946" s="176"/>
      <c r="F946" s="176"/>
      <c r="G946" s="177"/>
      <c r="H946" s="178"/>
      <c r="I946" s="179"/>
      <c r="J946" s="180"/>
      <c r="K946" s="181"/>
    </row>
    <row r="947" ht="22.5" customHeight="1">
      <c r="A947" s="173"/>
      <c r="B947" s="174"/>
      <c r="C947" s="175"/>
      <c r="D947" s="175"/>
      <c r="E947" s="176"/>
      <c r="F947" s="176"/>
      <c r="G947" s="177"/>
      <c r="H947" s="178"/>
      <c r="I947" s="179"/>
      <c r="J947" s="180"/>
      <c r="K947" s="181"/>
    </row>
    <row r="948" ht="22.5" customHeight="1">
      <c r="A948" s="173"/>
      <c r="B948" s="174"/>
      <c r="C948" s="175"/>
      <c r="D948" s="175"/>
      <c r="E948" s="176"/>
      <c r="F948" s="176"/>
      <c r="G948" s="177"/>
      <c r="H948" s="178"/>
      <c r="I948" s="179"/>
      <c r="J948" s="180"/>
      <c r="K948" s="181"/>
    </row>
    <row r="949" ht="22.5" customHeight="1">
      <c r="A949" s="173"/>
      <c r="B949" s="174"/>
      <c r="C949" s="175"/>
      <c r="D949" s="175"/>
      <c r="E949" s="176"/>
      <c r="F949" s="176"/>
      <c r="G949" s="177"/>
      <c r="H949" s="178"/>
      <c r="I949" s="179"/>
      <c r="J949" s="180"/>
      <c r="K949" s="181"/>
    </row>
    <row r="950" ht="22.5" customHeight="1">
      <c r="A950" s="173"/>
      <c r="B950" s="174"/>
      <c r="C950" s="175"/>
      <c r="D950" s="175"/>
      <c r="E950" s="176"/>
      <c r="F950" s="176"/>
      <c r="G950" s="177"/>
      <c r="H950" s="178"/>
      <c r="I950" s="179"/>
      <c r="J950" s="180"/>
      <c r="K950" s="181"/>
    </row>
    <row r="951" ht="22.5" customHeight="1">
      <c r="A951" s="173"/>
      <c r="B951" s="174"/>
      <c r="C951" s="175"/>
      <c r="D951" s="175"/>
      <c r="E951" s="176"/>
      <c r="F951" s="176"/>
      <c r="G951" s="177"/>
      <c r="H951" s="178"/>
      <c r="I951" s="179"/>
      <c r="J951" s="180"/>
      <c r="K951" s="181"/>
    </row>
    <row r="952" ht="22.5" customHeight="1">
      <c r="A952" s="173"/>
      <c r="B952" s="174"/>
      <c r="C952" s="175"/>
      <c r="D952" s="175"/>
      <c r="E952" s="176"/>
      <c r="F952" s="176"/>
      <c r="G952" s="177"/>
      <c r="H952" s="178"/>
      <c r="I952" s="179"/>
      <c r="J952" s="180"/>
      <c r="K952" s="181"/>
    </row>
    <row r="953" ht="22.5" customHeight="1">
      <c r="A953" s="173"/>
      <c r="B953" s="174"/>
      <c r="C953" s="175"/>
      <c r="D953" s="175"/>
      <c r="E953" s="176"/>
      <c r="F953" s="176"/>
      <c r="G953" s="177"/>
      <c r="H953" s="178"/>
      <c r="I953" s="179"/>
      <c r="J953" s="180"/>
      <c r="K953" s="181"/>
    </row>
    <row r="954" ht="22.5" customHeight="1">
      <c r="A954" s="173"/>
      <c r="B954" s="174"/>
      <c r="C954" s="175"/>
      <c r="D954" s="175"/>
      <c r="E954" s="176"/>
      <c r="F954" s="176"/>
      <c r="G954" s="177"/>
      <c r="H954" s="178"/>
      <c r="I954" s="179"/>
      <c r="J954" s="180"/>
      <c r="K954" s="181"/>
    </row>
    <row r="955" ht="22.5" customHeight="1">
      <c r="A955" s="173"/>
      <c r="B955" s="174"/>
      <c r="C955" s="175"/>
      <c r="D955" s="175"/>
      <c r="E955" s="176"/>
      <c r="F955" s="176"/>
      <c r="G955" s="177"/>
      <c r="H955" s="178"/>
      <c r="I955" s="179"/>
      <c r="J955" s="180"/>
      <c r="K955" s="181"/>
    </row>
    <row r="956" ht="22.5" customHeight="1">
      <c r="A956" s="173"/>
      <c r="B956" s="174"/>
      <c r="C956" s="175"/>
      <c r="D956" s="175"/>
      <c r="E956" s="176"/>
      <c r="F956" s="176"/>
      <c r="G956" s="177"/>
      <c r="H956" s="178"/>
      <c r="I956" s="179"/>
      <c r="J956" s="180"/>
      <c r="K956" s="181"/>
    </row>
    <row r="957" ht="22.5" customHeight="1">
      <c r="A957" s="173"/>
      <c r="B957" s="174"/>
      <c r="C957" s="175"/>
      <c r="D957" s="175"/>
      <c r="E957" s="176"/>
      <c r="F957" s="176"/>
      <c r="G957" s="177"/>
      <c r="H957" s="178"/>
      <c r="I957" s="179"/>
      <c r="J957" s="180"/>
      <c r="K957" s="181"/>
    </row>
    <row r="958" ht="22.5" customHeight="1">
      <c r="A958" s="173"/>
      <c r="B958" s="174"/>
      <c r="C958" s="175"/>
      <c r="D958" s="175"/>
      <c r="E958" s="176"/>
      <c r="F958" s="176"/>
      <c r="G958" s="177"/>
      <c r="H958" s="178"/>
      <c r="I958" s="179"/>
      <c r="J958" s="180"/>
      <c r="K958" s="181"/>
    </row>
    <row r="959" ht="22.5" customHeight="1">
      <c r="A959" s="173"/>
      <c r="B959" s="174"/>
      <c r="C959" s="175"/>
      <c r="D959" s="175"/>
      <c r="E959" s="176"/>
      <c r="F959" s="176"/>
      <c r="G959" s="177"/>
      <c r="H959" s="178"/>
      <c r="I959" s="179"/>
      <c r="J959" s="180"/>
      <c r="K959" s="181"/>
    </row>
    <row r="960" ht="22.5" customHeight="1">
      <c r="A960" s="173"/>
      <c r="B960" s="174"/>
      <c r="C960" s="175"/>
      <c r="D960" s="175"/>
      <c r="E960" s="176"/>
      <c r="F960" s="176"/>
      <c r="G960" s="177"/>
      <c r="H960" s="178"/>
      <c r="I960" s="179"/>
      <c r="J960" s="180"/>
      <c r="K960" s="181"/>
    </row>
    <row r="961" ht="22.5" customHeight="1">
      <c r="A961" s="173"/>
      <c r="B961" s="174"/>
      <c r="C961" s="175"/>
      <c r="D961" s="175"/>
      <c r="E961" s="176"/>
      <c r="F961" s="176"/>
      <c r="G961" s="177"/>
      <c r="H961" s="178"/>
      <c r="I961" s="179"/>
      <c r="J961" s="180"/>
      <c r="K961" s="181"/>
    </row>
    <row r="962" ht="22.5" customHeight="1">
      <c r="A962" s="173"/>
      <c r="B962" s="174"/>
      <c r="C962" s="175"/>
      <c r="D962" s="175"/>
      <c r="E962" s="176"/>
      <c r="F962" s="176"/>
      <c r="G962" s="177"/>
      <c r="H962" s="178"/>
      <c r="I962" s="179"/>
      <c r="J962" s="180"/>
      <c r="K962" s="181"/>
    </row>
    <row r="963" ht="22.5" customHeight="1">
      <c r="A963" s="173"/>
      <c r="B963" s="174"/>
      <c r="C963" s="175"/>
      <c r="D963" s="175"/>
      <c r="E963" s="176"/>
      <c r="F963" s="176"/>
      <c r="G963" s="177"/>
      <c r="H963" s="178"/>
      <c r="I963" s="179"/>
      <c r="J963" s="180"/>
      <c r="K963" s="181"/>
    </row>
    <row r="964" ht="22.5" customHeight="1">
      <c r="A964" s="173"/>
      <c r="B964" s="174"/>
      <c r="C964" s="175"/>
      <c r="D964" s="175"/>
      <c r="E964" s="176"/>
      <c r="F964" s="176"/>
      <c r="G964" s="177"/>
      <c r="H964" s="178"/>
      <c r="I964" s="179"/>
      <c r="J964" s="180"/>
      <c r="K964" s="181"/>
    </row>
    <row r="965" ht="22.5" customHeight="1">
      <c r="A965" s="173"/>
      <c r="B965" s="174"/>
      <c r="C965" s="175"/>
      <c r="D965" s="175"/>
      <c r="E965" s="176"/>
      <c r="F965" s="176"/>
      <c r="G965" s="177"/>
      <c r="H965" s="178"/>
      <c r="I965" s="179"/>
      <c r="J965" s="180"/>
      <c r="K965" s="181"/>
    </row>
    <row r="966" ht="22.5" customHeight="1">
      <c r="A966" s="173"/>
      <c r="B966" s="174"/>
      <c r="C966" s="175"/>
      <c r="D966" s="175"/>
      <c r="E966" s="176"/>
      <c r="F966" s="176"/>
      <c r="G966" s="177"/>
      <c r="H966" s="178"/>
      <c r="I966" s="179"/>
      <c r="J966" s="180"/>
      <c r="K966" s="181"/>
    </row>
    <row r="967" ht="22.5" customHeight="1">
      <c r="A967" s="173"/>
      <c r="B967" s="174"/>
      <c r="C967" s="175"/>
      <c r="D967" s="175"/>
      <c r="E967" s="176"/>
      <c r="F967" s="176"/>
      <c r="G967" s="177"/>
      <c r="H967" s="178"/>
      <c r="I967" s="179"/>
      <c r="J967" s="180"/>
      <c r="K967" s="181"/>
    </row>
    <row r="968" ht="22.5" customHeight="1">
      <c r="A968" s="173"/>
      <c r="B968" s="174"/>
      <c r="C968" s="175"/>
      <c r="D968" s="175"/>
      <c r="E968" s="176"/>
      <c r="F968" s="176"/>
      <c r="G968" s="177"/>
      <c r="H968" s="178"/>
      <c r="I968" s="179"/>
      <c r="J968" s="180"/>
      <c r="K968" s="181"/>
    </row>
    <row r="969" ht="22.5" customHeight="1">
      <c r="A969" s="173"/>
      <c r="B969" s="174"/>
      <c r="C969" s="175"/>
      <c r="D969" s="175"/>
      <c r="E969" s="176"/>
      <c r="F969" s="176"/>
      <c r="G969" s="177"/>
      <c r="H969" s="178"/>
      <c r="I969" s="179"/>
      <c r="J969" s="180"/>
      <c r="K969" s="181"/>
    </row>
    <row r="970" ht="22.5" customHeight="1">
      <c r="A970" s="173"/>
      <c r="B970" s="174"/>
      <c r="C970" s="175"/>
      <c r="D970" s="175"/>
      <c r="E970" s="176"/>
      <c r="F970" s="176"/>
      <c r="G970" s="177"/>
      <c r="H970" s="178"/>
      <c r="I970" s="179"/>
      <c r="J970" s="180"/>
      <c r="K970" s="181"/>
    </row>
    <row r="971" ht="22.5" customHeight="1">
      <c r="A971" s="173"/>
      <c r="B971" s="174"/>
      <c r="C971" s="175"/>
      <c r="D971" s="175"/>
      <c r="E971" s="176"/>
      <c r="F971" s="176"/>
      <c r="G971" s="177"/>
      <c r="H971" s="178"/>
      <c r="I971" s="179"/>
      <c r="J971" s="180"/>
      <c r="K971" s="181"/>
    </row>
    <row r="972" ht="22.5" customHeight="1">
      <c r="A972" s="173"/>
      <c r="B972" s="174"/>
      <c r="C972" s="175"/>
      <c r="D972" s="175"/>
      <c r="E972" s="176"/>
      <c r="F972" s="176"/>
      <c r="G972" s="177"/>
      <c r="H972" s="178"/>
      <c r="I972" s="179"/>
      <c r="J972" s="180"/>
      <c r="K972" s="181"/>
    </row>
    <row r="973" ht="22.5" customHeight="1">
      <c r="A973" s="173"/>
      <c r="B973" s="174"/>
      <c r="C973" s="175"/>
      <c r="D973" s="175"/>
      <c r="E973" s="176"/>
      <c r="F973" s="176"/>
      <c r="G973" s="177"/>
      <c r="H973" s="178"/>
      <c r="I973" s="179"/>
      <c r="J973" s="180"/>
      <c r="K973" s="181"/>
    </row>
    <row r="974" ht="22.5" customHeight="1">
      <c r="A974" s="173"/>
      <c r="B974" s="174"/>
      <c r="C974" s="175"/>
      <c r="D974" s="175"/>
      <c r="E974" s="176"/>
      <c r="F974" s="176"/>
      <c r="G974" s="177"/>
      <c r="H974" s="178"/>
      <c r="I974" s="179"/>
      <c r="J974" s="180"/>
      <c r="K974" s="181"/>
    </row>
    <row r="975" ht="22.5" customHeight="1">
      <c r="A975" s="173"/>
      <c r="B975" s="174"/>
      <c r="C975" s="175"/>
      <c r="D975" s="175"/>
      <c r="E975" s="176"/>
      <c r="F975" s="176"/>
      <c r="G975" s="177"/>
      <c r="H975" s="178"/>
      <c r="I975" s="179"/>
      <c r="J975" s="180"/>
      <c r="K975" s="181"/>
    </row>
    <row r="976" ht="22.5" customHeight="1">
      <c r="A976" s="173"/>
      <c r="B976" s="174"/>
      <c r="C976" s="175"/>
      <c r="D976" s="175"/>
      <c r="E976" s="176"/>
      <c r="F976" s="176"/>
      <c r="G976" s="177"/>
      <c r="H976" s="178"/>
      <c r="I976" s="179"/>
      <c r="J976" s="180"/>
      <c r="K976" s="181"/>
    </row>
    <row r="977" ht="22.5" customHeight="1">
      <c r="A977" s="173"/>
      <c r="B977" s="174"/>
      <c r="C977" s="175"/>
      <c r="D977" s="175"/>
      <c r="E977" s="176"/>
      <c r="F977" s="176"/>
      <c r="G977" s="177"/>
      <c r="H977" s="178"/>
      <c r="I977" s="179"/>
      <c r="J977" s="180"/>
      <c r="K977" s="181"/>
    </row>
    <row r="978" ht="22.5" customHeight="1">
      <c r="A978" s="173"/>
      <c r="B978" s="174"/>
      <c r="C978" s="175"/>
      <c r="D978" s="175"/>
      <c r="E978" s="176"/>
      <c r="F978" s="176"/>
      <c r="G978" s="177"/>
      <c r="H978" s="178"/>
      <c r="I978" s="179"/>
      <c r="J978" s="180"/>
      <c r="K978" s="181"/>
    </row>
    <row r="979" ht="22.5" customHeight="1">
      <c r="A979" s="173"/>
      <c r="B979" s="174"/>
      <c r="C979" s="175"/>
      <c r="D979" s="175"/>
      <c r="E979" s="176"/>
      <c r="F979" s="176"/>
      <c r="G979" s="177"/>
      <c r="H979" s="178"/>
      <c r="I979" s="179"/>
      <c r="J979" s="180"/>
      <c r="K979" s="181"/>
    </row>
    <row r="980" ht="22.5" customHeight="1">
      <c r="A980" s="173"/>
      <c r="B980" s="174"/>
      <c r="C980" s="175"/>
      <c r="D980" s="175"/>
      <c r="E980" s="176"/>
      <c r="F980" s="176"/>
      <c r="G980" s="177"/>
      <c r="H980" s="178"/>
      <c r="I980" s="179"/>
      <c r="J980" s="180"/>
      <c r="K980" s="181"/>
    </row>
    <row r="981" ht="22.5" customHeight="1">
      <c r="A981" s="173"/>
      <c r="B981" s="174"/>
      <c r="C981" s="175"/>
      <c r="D981" s="175"/>
      <c r="E981" s="176"/>
      <c r="F981" s="176"/>
      <c r="G981" s="177"/>
      <c r="H981" s="178"/>
      <c r="I981" s="179"/>
      <c r="J981" s="180"/>
      <c r="K981" s="181"/>
    </row>
    <row r="982" ht="22.5" customHeight="1">
      <c r="A982" s="173"/>
      <c r="B982" s="174"/>
      <c r="C982" s="175"/>
      <c r="D982" s="175"/>
      <c r="E982" s="176"/>
      <c r="F982" s="176"/>
      <c r="G982" s="177"/>
      <c r="H982" s="178"/>
      <c r="I982" s="179"/>
      <c r="J982" s="180"/>
      <c r="K982" s="181"/>
    </row>
    <row r="983" ht="22.5" customHeight="1">
      <c r="A983" s="173"/>
      <c r="B983" s="174"/>
      <c r="C983" s="175"/>
      <c r="D983" s="175"/>
      <c r="E983" s="176"/>
      <c r="F983" s="176"/>
      <c r="G983" s="177"/>
      <c r="H983" s="178"/>
      <c r="I983" s="179"/>
      <c r="J983" s="180"/>
      <c r="K983" s="181"/>
    </row>
    <row r="984" ht="22.5" customHeight="1">
      <c r="A984" s="173"/>
      <c r="B984" s="174"/>
      <c r="C984" s="175"/>
      <c r="D984" s="175"/>
      <c r="E984" s="176"/>
      <c r="F984" s="176"/>
      <c r="G984" s="177"/>
      <c r="H984" s="178"/>
      <c r="I984" s="179"/>
      <c r="J984" s="180"/>
      <c r="K984" s="181"/>
    </row>
    <row r="985" ht="22.5" customHeight="1">
      <c r="A985" s="173"/>
      <c r="B985" s="174"/>
      <c r="C985" s="175"/>
      <c r="D985" s="175"/>
      <c r="E985" s="176"/>
      <c r="F985" s="176"/>
      <c r="G985" s="177"/>
      <c r="H985" s="178"/>
      <c r="I985" s="179"/>
      <c r="J985" s="180"/>
      <c r="K985" s="181"/>
    </row>
    <row r="986" ht="22.5" customHeight="1">
      <c r="A986" s="173"/>
      <c r="B986" s="174"/>
      <c r="C986" s="175"/>
      <c r="D986" s="175"/>
      <c r="E986" s="176"/>
      <c r="F986" s="176"/>
      <c r="G986" s="177"/>
      <c r="H986" s="178"/>
      <c r="I986" s="179"/>
      <c r="J986" s="180"/>
      <c r="K986" s="181"/>
    </row>
    <row r="987" ht="22.5" customHeight="1">
      <c r="A987" s="173"/>
      <c r="B987" s="174"/>
      <c r="C987" s="175"/>
      <c r="D987" s="175"/>
      <c r="E987" s="176"/>
      <c r="F987" s="176"/>
      <c r="G987" s="177"/>
      <c r="H987" s="178"/>
      <c r="I987" s="179"/>
      <c r="J987" s="180"/>
      <c r="K987" s="181"/>
    </row>
    <row r="988" ht="22.5" customHeight="1">
      <c r="A988" s="173"/>
      <c r="B988" s="174"/>
      <c r="C988" s="175"/>
      <c r="D988" s="175"/>
      <c r="E988" s="176"/>
      <c r="F988" s="176"/>
      <c r="G988" s="177"/>
      <c r="H988" s="178"/>
      <c r="I988" s="179"/>
      <c r="J988" s="180"/>
      <c r="K988" s="181"/>
    </row>
    <row r="989" ht="22.5" customHeight="1">
      <c r="A989" s="173"/>
      <c r="B989" s="174"/>
      <c r="C989" s="175"/>
      <c r="D989" s="175"/>
      <c r="E989" s="176"/>
      <c r="F989" s="176"/>
      <c r="G989" s="177"/>
      <c r="H989" s="178"/>
      <c r="I989" s="179"/>
      <c r="J989" s="180"/>
      <c r="K989" s="181"/>
    </row>
    <row r="990" ht="22.5" customHeight="1">
      <c r="A990" s="173"/>
      <c r="B990" s="174"/>
      <c r="C990" s="175"/>
      <c r="D990" s="175"/>
      <c r="E990" s="176"/>
      <c r="F990" s="176"/>
      <c r="G990" s="177"/>
      <c r="H990" s="178"/>
      <c r="I990" s="179"/>
      <c r="J990" s="180"/>
      <c r="K990" s="181"/>
    </row>
    <row r="991" ht="22.5" customHeight="1">
      <c r="A991" s="173"/>
      <c r="B991" s="174"/>
      <c r="C991" s="175"/>
      <c r="D991" s="175"/>
      <c r="E991" s="176"/>
      <c r="F991" s="176"/>
      <c r="G991" s="177"/>
      <c r="H991" s="178"/>
      <c r="I991" s="179"/>
      <c r="J991" s="180"/>
      <c r="K991" s="181"/>
    </row>
    <row r="992" ht="22.5" customHeight="1">
      <c r="A992" s="173"/>
      <c r="B992" s="174"/>
      <c r="C992" s="175"/>
      <c r="D992" s="175"/>
      <c r="E992" s="176"/>
      <c r="F992" s="176"/>
      <c r="G992" s="177"/>
      <c r="H992" s="178"/>
      <c r="I992" s="179"/>
      <c r="J992" s="180"/>
      <c r="K992" s="181"/>
    </row>
    <row r="993" ht="22.5" customHeight="1">
      <c r="A993" s="173"/>
      <c r="B993" s="174"/>
      <c r="C993" s="175"/>
      <c r="D993" s="175"/>
      <c r="E993" s="176"/>
      <c r="F993" s="176"/>
      <c r="G993" s="177"/>
      <c r="H993" s="178"/>
      <c r="I993" s="179"/>
      <c r="J993" s="180"/>
      <c r="K993" s="181"/>
    </row>
    <row r="994" ht="22.5" customHeight="1">
      <c r="A994" s="173"/>
      <c r="B994" s="174"/>
      <c r="C994" s="175"/>
      <c r="D994" s="175"/>
      <c r="E994" s="176"/>
      <c r="F994" s="176"/>
      <c r="G994" s="177"/>
      <c r="H994" s="178"/>
      <c r="I994" s="179"/>
      <c r="J994" s="180"/>
      <c r="K994" s="181"/>
    </row>
    <row r="995" ht="22.5" customHeight="1">
      <c r="A995" s="173"/>
      <c r="B995" s="174"/>
      <c r="C995" s="175"/>
      <c r="D995" s="175"/>
      <c r="E995" s="176"/>
      <c r="F995" s="176"/>
      <c r="G995" s="177"/>
      <c r="H995" s="178"/>
      <c r="I995" s="179"/>
      <c r="J995" s="180"/>
      <c r="K995" s="181"/>
    </row>
    <row r="996" ht="22.5" customHeight="1">
      <c r="A996" s="173"/>
      <c r="B996" s="174"/>
      <c r="C996" s="175"/>
      <c r="D996" s="175"/>
      <c r="E996" s="176"/>
      <c r="F996" s="176"/>
      <c r="G996" s="177"/>
      <c r="H996" s="178"/>
      <c r="I996" s="179"/>
      <c r="J996" s="180"/>
      <c r="K996" s="181"/>
    </row>
    <row r="997" ht="22.5" customHeight="1">
      <c r="A997" s="173"/>
      <c r="B997" s="174"/>
      <c r="C997" s="175"/>
      <c r="D997" s="175"/>
      <c r="E997" s="176"/>
      <c r="F997" s="176"/>
      <c r="G997" s="177"/>
      <c r="H997" s="178"/>
      <c r="I997" s="179"/>
      <c r="J997" s="180"/>
      <c r="K997" s="181"/>
    </row>
    <row r="998" ht="22.5" customHeight="1">
      <c r="A998" s="173"/>
      <c r="B998" s="174"/>
      <c r="C998" s="175"/>
      <c r="D998" s="175"/>
      <c r="E998" s="176"/>
      <c r="F998" s="176"/>
      <c r="G998" s="177"/>
      <c r="H998" s="178"/>
      <c r="I998" s="179"/>
      <c r="J998" s="180"/>
      <c r="K998" s="181"/>
    </row>
    <row r="999" ht="22.5" customHeight="1">
      <c r="A999" s="173"/>
      <c r="B999" s="174"/>
      <c r="C999" s="175"/>
      <c r="D999" s="175"/>
      <c r="E999" s="176"/>
      <c r="F999" s="176"/>
      <c r="G999" s="177"/>
      <c r="H999" s="178"/>
      <c r="I999" s="179"/>
      <c r="J999" s="180"/>
      <c r="K999" s="181"/>
    </row>
    <row r="1000" ht="22.5" customHeight="1">
      <c r="A1000" s="173"/>
      <c r="B1000" s="174"/>
      <c r="C1000" s="175"/>
      <c r="D1000" s="175"/>
      <c r="E1000" s="176"/>
      <c r="F1000" s="176"/>
      <c r="G1000" s="177"/>
      <c r="H1000" s="178"/>
      <c r="I1000" s="179"/>
      <c r="J1000" s="180"/>
      <c r="K1000" s="181"/>
    </row>
  </sheetData>
  <dataValidations>
    <dataValidation type="custom" allowBlank="1" showDropDown="1" sqref="E2:G1000 I2:I1000 K2:K1000">
      <formula1>AND(ISNUMBER(E2),(NOT(OR(NOT(ISERROR(DATEVALUE(E2))), AND(ISNUMBER(E2), LEFT(CELL("format", E2))="D")))))</formula1>
    </dataValidation>
    <dataValidation type="list" allowBlank="1" sqref="H2:H1000">
      <formula1>"ACC,PENDING,CANCEL"</formula1>
    </dataValidation>
  </dataValidations>
  <drawing r:id="rId1"/>
  <tableParts count="1">
    <tablePart r:id="rId3"/>
  </tableParts>
</worksheet>
</file>